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Mendoza\Documents\Verwaltung\2026\KPIs\KPI-LS\"/>
    </mc:Choice>
  </mc:AlternateContent>
  <xr:revisionPtr revIDLastSave="0" documentId="13_ncr:1_{8ABC7604-D096-4574-A3C9-596A1E9C3B97}" xr6:coauthVersionLast="47" xr6:coauthVersionMax="47" xr10:uidLastSave="{00000000-0000-0000-0000-000000000000}"/>
  <bookViews>
    <workbookView xWindow="28680" yWindow="-120" windowWidth="29040" windowHeight="17520" xr2:uid="{89391CB9-96AA-46A5-ADD9-303406283B1F}"/>
  </bookViews>
  <sheets>
    <sheet name="2026" sheetId="1" r:id="rId1"/>
    <sheet name="ABZ" sheetId="2" r:id="rId2"/>
  </sheets>
  <definedNames>
    <definedName name="_xlnm._FilterDatabase" localSheetId="0" hidden="1">'2026'!$A$1:$W$1214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2" i="1"/>
  <c r="D873" i="1"/>
  <c r="D1206" i="1"/>
  <c r="D1207" i="1"/>
  <c r="D1208" i="1"/>
  <c r="D1209" i="1"/>
  <c r="D1210" i="1"/>
  <c r="D1211" i="1"/>
  <c r="D1212" i="1"/>
  <c r="D1213" i="1"/>
  <c r="D1214" i="1"/>
  <c r="P1205" i="1" l="1"/>
  <c r="P1204" i="1"/>
  <c r="P1203" i="1"/>
  <c r="P1202" i="1"/>
  <c r="P1201" i="1"/>
  <c r="P1200" i="1"/>
  <c r="P1199" i="1"/>
  <c r="P1198" i="1"/>
  <c r="P1197" i="1"/>
  <c r="P1196" i="1"/>
  <c r="P1195" i="1"/>
  <c r="P1194" i="1"/>
  <c r="P1193" i="1"/>
  <c r="P1192" i="1"/>
  <c r="P1191" i="1"/>
  <c r="P1190" i="1"/>
  <c r="P1189" i="1"/>
  <c r="P1188" i="1"/>
  <c r="P1187" i="1"/>
  <c r="P1186" i="1"/>
  <c r="P1185" i="1"/>
  <c r="P1184" i="1"/>
  <c r="P1183" i="1"/>
  <c r="P1182" i="1"/>
  <c r="N1182" i="1"/>
  <c r="N991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2" i="1"/>
  <c r="N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Laura Bonfanti</author>
  </authors>
  <commentList>
    <comment ref="B483" authorId="0" shapeId="0" xr:uid="{71C37BF3-ACCE-471A-AF24-81C48D1AF77C}">
      <text>
        <r>
          <rPr>
            <b/>
            <sz val="9"/>
            <color indexed="81"/>
            <rFont val="Segoe UI"/>
            <family val="2"/>
          </rPr>
          <t>Laura Bonfanti:</t>
        </r>
        <r>
          <rPr>
            <sz val="9"/>
            <color indexed="81"/>
            <rFont val="Segoe UI"/>
            <family val="2"/>
          </rPr>
          <t xml:space="preserve">
Gewünschte Änderung bereits geliefert
Niedrige Prio</t>
        </r>
      </text>
    </comment>
    <comment ref="B484" authorId="0" shapeId="0" xr:uid="{1085B7FF-D07B-486F-B246-D27CC7870296}">
      <text>
        <r>
          <rPr>
            <b/>
            <sz val="9"/>
            <color indexed="81"/>
            <rFont val="Segoe UI"/>
            <family val="2"/>
          </rPr>
          <t>Laura Bonfanti:</t>
        </r>
        <r>
          <rPr>
            <sz val="9"/>
            <color indexed="81"/>
            <rFont val="Segoe UI"/>
            <family val="2"/>
          </rPr>
          <t xml:space="preserve">
Gewünschte Änderung bereits geliefert
Niedrige Prio</t>
        </r>
      </text>
    </comment>
    <comment ref="B485" authorId="0" shapeId="0" xr:uid="{77419892-CBD1-416D-B440-B27A149AA51C}">
      <text>
        <r>
          <rPr>
            <b/>
            <sz val="9"/>
            <color indexed="81"/>
            <rFont val="Segoe UI"/>
            <family val="2"/>
          </rPr>
          <t>Laura Bonfanti:</t>
        </r>
        <r>
          <rPr>
            <sz val="9"/>
            <color indexed="81"/>
            <rFont val="Segoe UI"/>
            <family val="2"/>
          </rPr>
          <t xml:space="preserve">
Gewünschte Änderung bereits geliefert
Niedrige Prio</t>
        </r>
      </text>
    </comment>
    <comment ref="B486" authorId="0" shapeId="0" xr:uid="{C5FEAAB9-72E5-4639-AA9D-5D77D90457F9}">
      <text>
        <r>
          <rPr>
            <b/>
            <sz val="9"/>
            <color indexed="81"/>
            <rFont val="Segoe UI"/>
            <family val="2"/>
          </rPr>
          <t>Laura Bonfanti:</t>
        </r>
        <r>
          <rPr>
            <sz val="9"/>
            <color indexed="81"/>
            <rFont val="Segoe UI"/>
            <family val="2"/>
          </rPr>
          <t xml:space="preserve">
Gewünschte Änderung bereits geliefert
Niedrige Prio</t>
        </r>
      </text>
    </comment>
    <comment ref="B487" authorId="0" shapeId="0" xr:uid="{FBDCE743-E322-45E2-B3A0-A681546CCAF4}">
      <text>
        <r>
          <rPr>
            <b/>
            <sz val="9"/>
            <color indexed="81"/>
            <rFont val="Segoe UI"/>
            <family val="2"/>
          </rPr>
          <t>Laura Bonfanti:</t>
        </r>
        <r>
          <rPr>
            <sz val="9"/>
            <color indexed="81"/>
            <rFont val="Segoe UI"/>
            <family val="2"/>
          </rPr>
          <t xml:space="preserve">
Gewünschte Änderung bereits geliefert
Niedrige Prio</t>
        </r>
      </text>
    </comment>
  </commentList>
</comments>
</file>

<file path=xl/sharedStrings.xml><?xml version="1.0" encoding="utf-8"?>
<sst xmlns="http://schemas.openxmlformats.org/spreadsheetml/2006/main" count="9072" uniqueCount="923">
  <si>
    <t>Auftrags-ID</t>
  </si>
  <si>
    <t>Auftragsname</t>
  </si>
  <si>
    <t>Auftraggeber</t>
  </si>
  <si>
    <t>Abteilung</t>
  </si>
  <si>
    <t>Auftragstyp</t>
  </si>
  <si>
    <t>Sprache</t>
  </si>
  <si>
    <t>Kanal</t>
  </si>
  <si>
    <t>Eingang</t>
  </si>
  <si>
    <t>Deadline</t>
  </si>
  <si>
    <t>Lieferdatum</t>
  </si>
  <si>
    <t>Durchlaufzeit</t>
  </si>
  <si>
    <t>Translator</t>
  </si>
  <si>
    <t>Korrektur</t>
  </si>
  <si>
    <t>Status</t>
  </si>
  <si>
    <t>Ablageort</t>
  </si>
  <si>
    <t>ID</t>
  </si>
  <si>
    <t>Verantwörtlich</t>
  </si>
  <si>
    <t>Bemerkungen</t>
  </si>
  <si>
    <t>IT-Standalone-NL-2026.docx</t>
  </si>
  <si>
    <t>Information zu Speicherkrise 18122025.docx</t>
  </si>
  <si>
    <t>2026-01-06T14-01-35_PM-History-Texts.xml</t>
  </si>
  <si>
    <t>2026-01-06T14-40-23_PM-History-Texts_korr-de.xml</t>
  </si>
  <si>
    <t>Newsletter-IT-01-26.docx</t>
  </si>
  <si>
    <t>Newsletter-ES-01-26.docx</t>
  </si>
  <si>
    <t>METAFIELDS</t>
  </si>
  <si>
    <t>Data Act FRITZ!Smart-int-de.docx</t>
  </si>
  <si>
    <t>Übersetzung Newsletter Solden-de.docx</t>
  </si>
  <si>
    <t>Übersetzung Abbinder Newsletter D2C_de.docx</t>
  </si>
  <si>
    <t>Frohes neues Jahr 2026.docx</t>
  </si>
  <si>
    <t>MyFapp_20260107-de.xml</t>
  </si>
  <si>
    <t>MWC-save-the-date-2026-de.docx</t>
  </si>
  <si>
    <t>German_Design_Award-de.docx</t>
  </si>
  <si>
    <t>Übersetzung Stichpunkte für Social Media Karussell</t>
  </si>
  <si>
    <t>OH_FB_s24p2_v7-2026-01-12_D-00000084_T-00000951_EngineeringModules_de-DE_en-GB.Fragments.xml</t>
  </si>
  <si>
    <t>OH_FB_s24p2_v7-2026-01-12_D-00000084_T-00000951_EngineeringModules_de-DE_en-GB.xml</t>
  </si>
  <si>
    <t>OH_FB_s24p2_v7-2026-01-12_D-00000084_T-00000949_EngineeringModules_de-DE_it-IT.Fragments.xml</t>
  </si>
  <si>
    <t>OH_FB_s24p2_v7-2026-01-12_D-00000084_T-00000949_EngineeringModules_de-DE_it-IT.xml</t>
  </si>
  <si>
    <t>OH_FB_s24p2_v7-2026-01-12_D-00000084_T-00000950_EngineeringModules_de-DE_nl-NL.Fragments.xml</t>
  </si>
  <si>
    <t>OH_FB_s24p2_v7-2026-01-12_D-00000084_T-00000950_EngineeringModules_de-DE_nl-NL.xml</t>
  </si>
  <si>
    <t>OH_FB_s24p2_v7-2026-01-12_D-00000084_T-00000948_EngineeringModules_de-DE_es-ES.Fragments.xml</t>
  </si>
  <si>
    <t>OH_FB_s24p2_v7-2026-01-12_D-00000084_T-00000948_EngineeringModules_de-DE_es-ES.xml</t>
  </si>
  <si>
    <t>OH_FB_s24p2_v7-2026-01-12_D-00000084_T-00000947_EngineeringModules_de-DE_fr-FR.Fragments.xml</t>
  </si>
  <si>
    <t>OH_FB_s24p2_v7-2026-01-12_D-00000084_T-00000947_EngineeringModules_de-DE_fr-FR.xml</t>
  </si>
  <si>
    <t>20260113_Ankuendigung_FRITZ!Box 4630_Edition_International_DE_Final.docx</t>
  </si>
  <si>
    <t>Whitepaper-de.docx</t>
  </si>
  <si>
    <t>20260114_MyFRITZ 3.0 Beschreibungstext AppStores_DE.docx</t>
  </si>
  <si>
    <t>Launch-Kampagne CH - Textassets_ Fritz_REG140126.xlsx</t>
  </si>
  <si>
    <t>Übersetzung Warenkorb Reminder-de.docx</t>
  </si>
  <si>
    <t>Amazon_Content_Rest-de.docx</t>
  </si>
  <si>
    <t>MyFapp_20260115-de.xliff</t>
  </si>
  <si>
    <t>4442_nl-NL_produktvergleich_20260116-124329.xml</t>
  </si>
  <si>
    <t>MyFapp_20260119-de-ES.xliff</t>
  </si>
  <si>
    <t>MyFapp_20260119-de-FR.xliff</t>
  </si>
  <si>
    <t>MyFapp_20260119-de-IT.xliff</t>
  </si>
  <si>
    <t>MyFapp_20260119-de-NL.xliff</t>
  </si>
  <si>
    <t>MyFapp_20260119-de-PL.xliff</t>
  </si>
  <si>
    <t>MyFapp_20260119-de-SL.xliff</t>
  </si>
  <si>
    <t>MyFapp_20260119-de-US.xliff</t>
  </si>
  <si>
    <t>Ankuendigung_FRITZ!Box_6850_5G_v2_Edition_International-de.docx</t>
  </si>
  <si>
    <t>dsgvo-loeschanfrage-d2c-daten-de.docx</t>
  </si>
  <si>
    <t>OH_FRep_Sm24p2_v3-2026-01-20_D-00000089_T-00000956_EngineeringModules_de-DE_en-GB.xml</t>
  </si>
  <si>
    <t>OH_FRep_Sm24p2_v3-2026-01-20_D-00000089_T-00000954_EngineeringModules_de-DE_it-IT.xml</t>
  </si>
  <si>
    <t>OH_FRep_Sm24p2_v3-2026-01-20_D-00000089_T-00000955_EngineeringModules_de-DE_nl-NL.xml</t>
  </si>
  <si>
    <t>OH_FRep_Sm24p2_v3-2026-01-20_D-00000089_T-00000953_EngineeringModules_de-DE_es-ES.xml</t>
  </si>
  <si>
    <t>OH_FRep_Sm24p2_v3-2026-01-20_D-00000089_T-00000952_EngineeringModules_de-DE_fr-FR.xml</t>
  </si>
  <si>
    <t>Booklet 610 (2 Dateien)</t>
  </si>
  <si>
    <t>Provider-EN.docx</t>
  </si>
  <si>
    <t>fritzpowerline.de.xlf</t>
  </si>
  <si>
    <t>fritzpowerline.en.xlf</t>
  </si>
  <si>
    <t>fritz.powerline Help</t>
  </si>
  <si>
    <t>fritz.powerline Help - en</t>
  </si>
  <si>
    <t>PDP FRITZ!Box 6825 4G + neue Metaobjekte (4 Dateien)</t>
  </si>
  <si>
    <t>Bundles_translations-en-ONLINE_STORE_THEME.json</t>
  </si>
  <si>
    <t>Bundle-6670_translations-fr-ONLINE_STORE_THEME.json</t>
  </si>
  <si>
    <t>Bundle-6670_translations-nl-ONLINE_STORE_THEME.json</t>
  </si>
  <si>
    <t>(Shopify) Clearer Address Validator.xlsx</t>
  </si>
  <si>
    <t>2026-01-21T10-44-57_PM-History-Texts.xml</t>
  </si>
  <si>
    <t>2026-01-21T11-15-53_PM-History-Texts_korr-de.xml</t>
  </si>
  <si>
    <t>FRITZ!Smart Energy 201.docx</t>
  </si>
  <si>
    <t>Felder-Namen Pisa web.docx</t>
  </si>
  <si>
    <t>Master_HB_FB_Sm24p1_v6-2026-01-21_D-00000083_T-00000958_EngineeringModules_de-DE_en-GB.xml</t>
  </si>
  <si>
    <t>Unternehmenspraesentation-de.docx</t>
  </si>
  <si>
    <t>Mobilfunk Landingpage und Banner (2 Dateien)</t>
  </si>
  <si>
    <t>Translation_Display Banner.docx</t>
  </si>
  <si>
    <t>Translations_Landingpage.docx</t>
  </si>
  <si>
    <t>OH-FRep_Sm24p1_v11-2026-01-26_D-00000080_T-00000960_EngineeringModules_de-DE_nl-NL.xml</t>
  </si>
  <si>
    <t>OH-FRep_Sm24p1_v11-2026-01-26_D-00000080_T-00000961_EngineeringModules_de-DE_en-GB.xml</t>
  </si>
  <si>
    <t>Alignment Unternehmenspräsentation</t>
  </si>
  <si>
    <t>METAFIELDS_Router</t>
  </si>
  <si>
    <t>Business Update DE Februar</t>
  </si>
  <si>
    <t>Unternehmenspraesentation-de.pptx</t>
  </si>
  <si>
    <t>NL_Newsletter_Februar_2026.docx</t>
  </si>
  <si>
    <t>autoresponder_noreply_shop_fritz_com.docx</t>
  </si>
  <si>
    <t>Data Act FRITZ!Powerline-int-de.docx</t>
  </si>
  <si>
    <t>Data Act FRITZ!Box-int-de.docx</t>
  </si>
  <si>
    <t>Data Act FRITZ!Repeater-int-de.docx</t>
  </si>
  <si>
    <t>2026-01-27T15-09-50_PM-History-Texts.xml</t>
  </si>
  <si>
    <t>2026-01-27T15-48-56_PM-History-Texts_korr-de.xml</t>
  </si>
  <si>
    <t>PL_Brand_Store_Übersetzungen.docx</t>
  </si>
  <si>
    <t>Ankündigung_FRITZ!Box_6850_4G_Edition International_DE_Final.docx</t>
  </si>
  <si>
    <t>D2C_KundenTexte-de.docx</t>
  </si>
  <si>
    <t>translations--smart24p2nl1--2026-01-28_de.po</t>
  </si>
  <si>
    <t>Übersetzung Newsletter Valentinstag.docx</t>
  </si>
  <si>
    <t>Übersetzung_Tabelle-DE.docx</t>
  </si>
  <si>
    <t>PI_FRITZ!Box 4630_final.docx</t>
  </si>
  <si>
    <t>MyFapp_20260129-de.xml</t>
  </si>
  <si>
    <t>Ankuendigung_Mesh Wi-Fi Extender_1600_INT_DE_Final.docx</t>
  </si>
  <si>
    <t>box-discovery-de.json</t>
  </si>
  <si>
    <t>Made in Europe-de.docx</t>
  </si>
  <si>
    <t>Übersetzung Darum FRITZ.docx</t>
  </si>
  <si>
    <t>2026-02-03T14-17-44_PM-History-Texts.xml</t>
  </si>
  <si>
    <t>2026-02-03T15-55-13_PM-History-Texts_korr-de.xml</t>
  </si>
  <si>
    <t>Newsletter ES.docx</t>
  </si>
  <si>
    <t>autoresponder_noreply_shop_fritz_com_NEU.docx</t>
  </si>
  <si>
    <t>PI_FRITZ!Box 6825_4G-de.docx</t>
  </si>
  <si>
    <t>PI_FRITZ!Box 6825_4G-en.docx</t>
  </si>
  <si>
    <t>PI_FRITZ!Box_7632-de.docx</t>
  </si>
  <si>
    <t>PI_FRITZ!Box_7632-en.docx</t>
  </si>
  <si>
    <t>Newsletter IT.docx</t>
  </si>
  <si>
    <t>METAFIELDS (Neu)</t>
  </si>
  <si>
    <t>Mesh Set 2700 Edition International</t>
  </si>
  <si>
    <t>Mesh Set 4200 Edition International</t>
  </si>
  <si>
    <t>Repeater 1200 AX Edition International</t>
  </si>
  <si>
    <t>Repeater 1700 Edition International</t>
  </si>
  <si>
    <t>Repeater 2700 Edition International</t>
  </si>
  <si>
    <t>FappFon_20260205-de.xml</t>
  </si>
  <si>
    <t>4622_it-IT_produktvergleich_20260206-080715.xml</t>
  </si>
  <si>
    <t>4623_es-ES_produktvergleich_20260206-080735.xml</t>
  </si>
  <si>
    <t>Fapp_adc_20260206-de.xml</t>
  </si>
  <si>
    <t>Fapp_fundamentals_20260206-de.xml</t>
  </si>
  <si>
    <t>4647_de-DE_fritzbox_6850_lte_20260206-125204.xml</t>
  </si>
  <si>
    <t>4648_de-DE_fritzbox_6850_5g_20260206-125159.xml</t>
  </si>
  <si>
    <t>4649_de-DE_fritzbox_6860_5g_20260206-125155.xml</t>
  </si>
  <si>
    <t>4651_de-DE_fritzbox_7510_20260206-125135.xml</t>
  </si>
  <si>
    <t>4652_de-DE_fritzbox_7530_ax_20260206-125130.xml</t>
  </si>
  <si>
    <t>4653_de-DE_fritzbox_7590_ax_20260206-125124.xml</t>
  </si>
  <si>
    <t>4654_de-DE_fritzbox_7682_20260206-125051.xml</t>
  </si>
  <si>
    <t>4655_de-DE_fritzbox_7690_20260206-125042.xml</t>
  </si>
  <si>
    <t>4635_de-DE_fritzsfp_xgs_pon_20260206-125301.xml</t>
  </si>
  <si>
    <t>4636_de-DE_fritzbox_4050_20260206-125257.xml</t>
  </si>
  <si>
    <t>4638_de-DE_fritzbox_4690_20260206-125248.xml</t>
  </si>
  <si>
    <t>4639_de-DE_fritzbox_5530_fiber_20260206-125244.xml</t>
  </si>
  <si>
    <t>4640_de-DE_fritzbox_5590_fiber_20260206-125239.xml</t>
  </si>
  <si>
    <t>4641_de-DE_fritzbox_5690_xgs_20260206-125234.xml</t>
  </si>
  <si>
    <t>4642_de-DE_fritzbox_5690_pro_20260206-125230.xml</t>
  </si>
  <si>
    <t>4643_de-DE_fritzbox_5690_20260206-125223.xml</t>
  </si>
  <si>
    <t>4644_de-DE_fritzbox_6670_cable_20260206-125219.xml</t>
  </si>
  <si>
    <t>4645_de-DE_fritzbox_6690_cable_20260206-125214.xml</t>
  </si>
  <si>
    <t>4646_de-DE_fritzbox_6820_lte_20260206-125209.xml</t>
  </si>
  <si>
    <t>4673_de-DE_fritzmesh_set_1700_3er_set_20260206-131926.xml</t>
  </si>
  <si>
    <t>4676_de-DE_fritzmesh_set_4200_2er_set_20260206-131852.xml</t>
  </si>
  <si>
    <t>4677_de-DE_fritzmesh_set_4200_3er_set_20260206-131847.xml</t>
  </si>
  <si>
    <t>4657_de-DE_fritzwlan_stick_ac_430_mu_mimo_20260206-132052.xml</t>
  </si>
  <si>
    <t>4658_de-DE_fritzpowerline_1220e_set_20260206-132048.xml</t>
  </si>
  <si>
    <t>4659_de-DE_fritzpowerline_1240_ax_wlan_set_20260206-132042.xml</t>
  </si>
  <si>
    <t>4660_de-DE_fritzpowerline_1240_ax_single_20260206-132038.xml</t>
  </si>
  <si>
    <t>4661_de-DE_fritzpowerline_1260e_wlan_set_20260206-132029.xml</t>
  </si>
  <si>
    <t>4662_de-DE_fritzrepeater_600_20260206-132024.xml</t>
  </si>
  <si>
    <t>4663_de-DE_fritzrepeater_1200_ax_20260206-132019.xml</t>
  </si>
  <si>
    <t>4664_de-DE_fritzrepeater_1610_outdoor_20260206-132015.xml</t>
  </si>
  <si>
    <t>4665_de-DE_fritzrepeater_1700_20260206-132011.xml</t>
  </si>
  <si>
    <t>4666_de-DE_fritzrepeater_2400_20260206-132006.xml</t>
  </si>
  <si>
    <t>4667_de-DE_fritzrepeater_2700_20260206-132002.xml</t>
  </si>
  <si>
    <t>4668_de-DE_fritzrepeater_3000_ax_20260206-131958.xml</t>
  </si>
  <si>
    <t>4669_de-DE_fritzrepeater_6000_20260206-131954.xml</t>
  </si>
  <si>
    <t>4670_de-DE_fritzmesh_set_1600_2er_set_20260206-131950.xml</t>
  </si>
  <si>
    <t>4671_de-DE_fritzmesh_set_1600_3er_set_20260206-131947.xml</t>
  </si>
  <si>
    <t>4673_de-DE_fritzmesh_set_1700_3er_set_20260206-131909.xml</t>
  </si>
  <si>
    <t>4692_de-DE_fritzsmart_gateway_20260206-132759.xml</t>
  </si>
  <si>
    <t>4680_de-DE_fritzfon_m3_20260206-132753.xml</t>
  </si>
  <si>
    <t>4681_de-DE_fritzfon_c6_20260206-132749.xml</t>
  </si>
  <si>
    <t>4682_de-DE_fritzfon_x6_20260206-132742.xml</t>
  </si>
  <si>
    <t>4684_de-DE_fritzdect_repeater_100_20260206-132858.xml</t>
  </si>
  <si>
    <t>4685_de-DE_fritzsmart_energy_200_20260206-132853.xml</t>
  </si>
  <si>
    <t>4686_de-DE_fritzdect_210_20260206-132848.xml</t>
  </si>
  <si>
    <t>4687_de-DE_fritzsmart_energy_250_20260206-132844.xml</t>
  </si>
  <si>
    <t>4688_de-DE_fritzsmart_thermo_302_20260206-132840.xml</t>
  </si>
  <si>
    <t>4689_de-DE_fritzsmart_control_350_20260206-132836.xml</t>
  </si>
  <si>
    <t>4690_de-DE_fritzsmart_control_440_20260206-132804.xml</t>
  </si>
  <si>
    <t>766_de.xml</t>
  </si>
  <si>
    <t>Business Update AT Februar</t>
  </si>
  <si>
    <t>Business Update CH Februar</t>
  </si>
  <si>
    <t>ChatBot-de.docx</t>
  </si>
  <si>
    <t>translations--smart24p2nl1--2026-02-09_de.po</t>
  </si>
  <si>
    <t>Repeater 3000 AX</t>
  </si>
  <si>
    <t>Repeater 600</t>
  </si>
  <si>
    <t>Repeater 6000</t>
  </si>
  <si>
    <t>Stick 6700</t>
  </si>
  <si>
    <t>translations--MyFOS-P1--2026-02-09_de.po</t>
  </si>
  <si>
    <t>2026-02-10T13-50-12_PM-History-Texts.xml</t>
  </si>
  <si>
    <t>2026-02-10T14-17-38_PM-History-Texts_korr-de.xml</t>
  </si>
  <si>
    <t>Produktankündigung FRITZ!Box 5690 Edition International (20003146) Übersetzun</t>
  </si>
  <si>
    <t>FRITZ!Fon Data Act-int-de.docx</t>
  </si>
  <si>
    <t>4630+Dreisprung_translations-[SPRACHE]-ONLINE_STORE_THEME.json</t>
  </si>
  <si>
    <t>0000_12-1100-1-17-1-27_translate-from-de.xml</t>
  </si>
  <si>
    <t>3000-6000_Änderungen_translations-[Sprache]-ONLINE_STORE_THEME.json</t>
  </si>
  <si>
    <t>KA_7630</t>
  </si>
  <si>
    <t>KA.6850 5G</t>
  </si>
  <si>
    <t>KA 6850 LTE</t>
  </si>
  <si>
    <t>KA 6850 5G v2</t>
  </si>
  <si>
    <t>KA 5690</t>
  </si>
  <si>
    <t>KA 5690 Pro</t>
  </si>
  <si>
    <t>KA 5630</t>
  </si>
  <si>
    <t>Ankuendigung_FRITZ!Smart Control_440-de.docx</t>
  </si>
  <si>
    <t>Ankuendigung_FRITZ!Smart Control_440_DE_Draft.docx</t>
  </si>
  <si>
    <t>Ankuendigung_FRITZ!Smart Thermo 302-de.docx</t>
  </si>
  <si>
    <t>Ankuendigung_FRITZ!Smart Thermo 302_DE_Draft.docx</t>
  </si>
  <si>
    <t>FRITZ!Box 6860 5G</t>
  </si>
  <si>
    <t>Business Update DE Februar-02</t>
  </si>
  <si>
    <t>Datenschutzerklärung_v10-2026-02-13_D-00000053_T-00000973_EngineeringModules_de-DE_en-GB.xml</t>
  </si>
  <si>
    <t>Datenschutzerklärung_v10-2026-02-13_D-00000053_T-00000972_EngineeringModules_de-DE_sl-SI.xml</t>
  </si>
  <si>
    <t>Datenschutzerklärung_v10-2026-02-13_D-00000053_T-00000971_EngineeringModules_de-DE_pl-PL.xml</t>
  </si>
  <si>
    <t>Datenschutzerklärung_v10-2026-02-13_D-00000053_T-00000970_EngineeringModules_de-DE_nl-NL.xml</t>
  </si>
  <si>
    <t>Datenschutzerklärung_v10-2026-02-13_D-00000053_T-00000969_EngineeringModules_de-DE_it-IT.xml</t>
  </si>
  <si>
    <t>Datenschutzerklärung_v10-2026-02-13_D-00000053_T-00000968_EngineeringModules_de-DE_es-ES.xml</t>
  </si>
  <si>
    <t>Datenschutzerklärung_v10-2026-02-13_D-00000053_T-00000967_EngineeringModules_de-DE_fr-FR.xml</t>
  </si>
  <si>
    <t>2026_Ankuendigung_FRITZ!Repeater_2400_Edition International-de.docx</t>
  </si>
  <si>
    <t>2026_Ankuendigung_FRITZ!Repeater 600 Edition International-de.docx</t>
  </si>
  <si>
    <t>20260216_Ankuendigung_FRITZ!Box_5690_Edition_AON-de.docx</t>
  </si>
  <si>
    <t>20260216_Ankuendigung_FRITZ!Box_5690_Edition_AON_DE_Final.docx</t>
  </si>
  <si>
    <t>20260216_Ankuendigung_FRITZ!Box 7632_Edition_International-de.docx</t>
  </si>
  <si>
    <t>20260216_Ankuendigung_FRITZ!Box 7632_Edition_International_DE_Final.docx</t>
  </si>
  <si>
    <t>Neuheiten MWC 2026_de.docx</t>
  </si>
  <si>
    <t>2026-02-17T13-04-24_PM-History-Texts.xml</t>
  </si>
  <si>
    <t>2026-02-17T14-41-04_PM-History-Texts_korr-de.xml</t>
  </si>
  <si>
    <t>SHOP-POLICY</t>
  </si>
  <si>
    <t>20260216_Ankuendigung_FRITZ!Smart Control_350_Edition International-de.docx</t>
  </si>
  <si>
    <t>PA FRITZ!Smart Control 350 Edition International</t>
  </si>
  <si>
    <t>PSPs (4 Produkte)</t>
  </si>
  <si>
    <t>Sales Points Liste NL</t>
  </si>
  <si>
    <t>2026-02-18_D-00000088_T-00000983_EngineeringModules_de-DE_en-GB.xml</t>
  </si>
  <si>
    <t>INT_430_MU_[DE].idml</t>
  </si>
  <si>
    <t>PI FRITZ! auf dem MWC 2026_4.docx</t>
  </si>
  <si>
    <t>Wartungshinweis-de.docx</t>
  </si>
  <si>
    <t>Channel Excellence Award.docx</t>
  </si>
  <si>
    <t>Blog_6825_4G_translations-en-ONLINE_STORE_THEME</t>
  </si>
  <si>
    <t>Blog_6825_4G_translations-es-ONLINE_STORE_THEME</t>
  </si>
  <si>
    <t>Blog_6825_4G_translations-fr-ONLINE_STORE_THEME</t>
  </si>
  <si>
    <t>Blog_6825_4G_translations-it-ONLINE_STORE_THEME</t>
  </si>
  <si>
    <t>Blog_6825_4G_translations-nl-ONLINE_STORE_THEME</t>
  </si>
  <si>
    <t>section.customers_translations-[Sprache]-ONLINE_STORE_THEME.json</t>
  </si>
  <si>
    <t>DHL Express Versandhinweis</t>
  </si>
  <si>
    <t>MWC_Infomudul_3A-de.docx</t>
  </si>
  <si>
    <t>Übersetzung Newsletter Mobilfunk Kampagne.docx</t>
  </si>
  <si>
    <t>Amazon_20260224_translations-de.docx</t>
  </si>
  <si>
    <t>Mailvorlage E-Mail-Absender fritz.com.docx</t>
  </si>
  <si>
    <t>2026-02-24T15-11-52_PM-History-Texts.xml</t>
  </si>
  <si>
    <t>2026-02-24T15-47-18_PM-History-Texts_korr-de.xml</t>
  </si>
  <si>
    <t>Business Update De März 1</t>
  </si>
  <si>
    <t>Master_App_Version_Betriebssystem</t>
  </si>
  <si>
    <t>Ecovadis-Award-de.docx</t>
  </si>
  <si>
    <t>Inhalte MWC-Screens 2026.docx</t>
  </si>
  <si>
    <t>NL_Award Glitching.docx</t>
  </si>
  <si>
    <t>IT_Awards_Tecnogazzetta.docx</t>
  </si>
  <si>
    <t>2026-02-26_D-00000079_T-00000990_EngineeringModules_de-DE_sl-SI.Fragments.xml</t>
  </si>
  <si>
    <t>2026-02-26_D-00000079_T-00000990_EngineeringModules_de-DE_sl-SI.xml</t>
  </si>
  <si>
    <t>Master_OH_FRep_M21-2026-02-26_D-00000051_T-00001000_EngineeringModules_de-DE_en-GB.xml</t>
  </si>
  <si>
    <t>Master_OH_FRep_M21-2026-02-26_D-00000051_T-00000999_EngineeringModules_de-DE_nl-NL.xml</t>
  </si>
  <si>
    <t>Master_OH_FRep_M21-2026-02-26_D-00000051_T-00000998_EngineeringModules_de-DE_it-IT.xml</t>
  </si>
  <si>
    <t>Master_OH_FRep_M21-2026-02-26_D-00000051_T-00000997_EngineeringModules_de-DE_es-ES.xml</t>
  </si>
  <si>
    <t>Master_OH_FRep_M21-2026-02-26_D-00000051_T-00000996_EngineeringModules_de-DE_fr-FR.xml</t>
  </si>
  <si>
    <t>Master_OH_FB_M21-2026-02-26_D-00000020_T-00000995_EngineeringModules_de-DE_en-GB.Fragments.xml</t>
  </si>
  <si>
    <t>Master_OH_FB_M21-2026-02-26_D-00000020_T-00000995_EngineeringModules_de-DE_en-GB.xml</t>
  </si>
  <si>
    <t>Master_OH_FB_M21-2026-02-26_D-00000020_T-00000994_EngineeringModules_de-DE_nl-NL.xml</t>
  </si>
  <si>
    <t>Master_OH_FB_M21-2026-02-26_D-00000020_T-00000993_EngineeringModules_de-DE_it-IT.xml</t>
  </si>
  <si>
    <t>Master_OH_FB_M21-2026-02-26_D-00000020_T-00000992_EngineeringModules_de-DE_es-ES.xml</t>
  </si>
  <si>
    <t>Master_OH_FB_M21-2026-02-26_D-00000020_T-00000991_EngineeringModules_de-DE_fr-FR.xml</t>
  </si>
  <si>
    <t>MyFapp_20260226-de.xml</t>
  </si>
  <si>
    <t>DHL Express Versandhinweis_v2</t>
  </si>
  <si>
    <t>Verpackung_1260_Wi-Fi_Set-de.docx</t>
  </si>
  <si>
    <t>PSP 1240E</t>
  </si>
  <si>
    <t>Mobilfunk - Kampagnenplanung _ Textassets_24022026.xlsx</t>
  </si>
  <si>
    <t>Mobilfunk - Kampagnenplanung _ Textassets_24022026_FR.xlsx</t>
  </si>
  <si>
    <t>PP_Mailprozess.docx</t>
  </si>
  <si>
    <t>20260225_EN_C-Level_MSD_V2.docx</t>
  </si>
  <si>
    <t>FRITZ! Management Summary.pptx</t>
  </si>
  <si>
    <t>4742_it-IT_internetnutzung_im_unternehmen_gezielt_steuern_20260227-102501.xml</t>
  </si>
  <si>
    <t>4743_nl-NL_internetnutzung_im_unternehmen_gezielt_steuern_20260227-102537.xml</t>
  </si>
  <si>
    <t>4744_es-ES_internetnutzung_im_unternehmen_gezielt_steuern_20260227-102555.xml</t>
  </si>
  <si>
    <t>FappBoxSetup_20260301-de.xliff</t>
  </si>
  <si>
    <t>MyFapp_20260301-de.xliff</t>
  </si>
  <si>
    <t>Screens L&amp;B 2026_de.docx</t>
  </si>
  <si>
    <t>Hinweistext bei Anmeldung zum Newsletter.docx</t>
  </si>
  <si>
    <t>Translations_Easter-Spring Deals_Banner_de.docx</t>
  </si>
  <si>
    <t>Failsafe Bundle auf EN</t>
  </si>
  <si>
    <t>2026-03-03T15-21-28_PM-History-Texts.xml</t>
  </si>
  <si>
    <t>2026-03-03T16-23-02_PM-History-Texts_korr-de.xml</t>
  </si>
  <si>
    <t>Neue Hinweise in E-Mail Footer.docx</t>
  </si>
  <si>
    <t>4614_en-GB_technik_20260304-092633.xml</t>
  </si>
  <si>
    <t>4746_en-GB_security_und_software_20260304-091506.xml</t>
  </si>
  <si>
    <t>4747_en-GB_failsafe_20260304-091557.xml</t>
  </si>
  <si>
    <t>4748_en-GB_fritz_wissensdatenbank_20260304-091553.xml</t>
  </si>
  <si>
    <t>4749_en-GB_upload_freigabe_fuer_einfachen_dateiaustausch_20260304-091549.xml</t>
  </si>
  <si>
    <t>4750_en-GB_wi_fi_7_das_multi_gigabit_wlan_ist_da_20260304-091544.xml</t>
  </si>
  <si>
    <t>4751_en-GB_smart_home_mit_fritz_und_matter_20260304-091540.xml</t>
  </si>
  <si>
    <t>4752_en-GB_smart_home_mit_fritz_und_zigbee_20260304-091535.xml</t>
  </si>
  <si>
    <t>4753_en-GB_schon_gewusst_20260304-091608.xml</t>
  </si>
  <si>
    <t>4754_en-GB_internetnutzung_im_unternehmen_gezielt_steuern_20260304-091522.xml</t>
  </si>
  <si>
    <t>4755_en-GB_sicherer_zugriff_firewall_und_portfreigaben_20260304-091530.xml</t>
  </si>
  <si>
    <t>4756_en-GB_mesh_mit_fritz_20260304-091526.xml</t>
  </si>
  <si>
    <t>4757_en-GB_die_welt_ist_dein_hotspot_20260304-091517.xml</t>
  </si>
  <si>
    <t>4758_en-GB_wenn_glasfaser_dann_fritz_20260304-091512.xml</t>
  </si>
  <si>
    <t>NL_Newsletter_März.docx</t>
  </si>
  <si>
    <t>FRITZ!_für_Unternehmen-translations-en-ONLINE_STORE_THEME.json</t>
  </si>
  <si>
    <t>FRITZ!_für_Unternehmen-translations-en-PAGE.json</t>
  </si>
  <si>
    <t>INT_Booklet_6700_[DE]_yabylon.idml</t>
  </si>
  <si>
    <t>FappBoxSetup_20260304-de-ES.xliff</t>
  </si>
  <si>
    <t>FappBoxSetup_20260304-de-FR.xliff</t>
  </si>
  <si>
    <t>FappBoxSetup_20260304-de-IT.xliff</t>
  </si>
  <si>
    <t>FappBoxSetup_20260304-de-NL.xliff</t>
  </si>
  <si>
    <t>FappBoxSetup_20260304-de-PL.xliff</t>
  </si>
  <si>
    <t>FappBoxSetup_20260304-de-SL.xliff</t>
  </si>
  <si>
    <t>FappBoxSetup_20260304-de-US.xliff</t>
  </si>
  <si>
    <t>MyFapp_20260303-de-ES.xliff</t>
  </si>
  <si>
    <t>MyFapp_20260303-de-FR.xliff</t>
  </si>
  <si>
    <t>MyFapp_20260303-de-IT.xliff</t>
  </si>
  <si>
    <t>MyFapp_20260303-de-NL.xliff</t>
  </si>
  <si>
    <t>MyFapp_20260303-de-PL.xliff</t>
  </si>
  <si>
    <t>MyFapp_20260303-de-SL.xliff</t>
  </si>
  <si>
    <t>MyFapp_20260303-de-US.xliff</t>
  </si>
  <si>
    <t>B2B-translations-en-METAOBJECT.json</t>
  </si>
  <si>
    <t>B2B-translations-en-ONLINE_STORE_THEME.json</t>
  </si>
  <si>
    <t>PI_FRITZ_auf_der_L-B_1.docx</t>
  </si>
  <si>
    <t>Newsletterhinweis.docx</t>
  </si>
  <si>
    <t>FappSH_20260305-de.xml</t>
  </si>
  <si>
    <t>Changelogs.docx</t>
  </si>
  <si>
    <t>translations-[Sprache]-PRODUCT.json</t>
  </si>
  <si>
    <t>translations-[Sprache]-METAFIELD.json</t>
  </si>
  <si>
    <t>PDP_7682_7632-translations-[Sprache]-METAOBJECT.json</t>
  </si>
  <si>
    <t>PDP_7682_7632-translations-[Sprache]-ONLINE_STORE_THEME.json</t>
  </si>
  <si>
    <t>Verpackung3000AX-Int_de.docx</t>
  </si>
  <si>
    <t>Beglaubigte Übersetzung Handelsregisterauszug</t>
  </si>
  <si>
    <t>Amazon Seller Homepage Germany - Help.docx</t>
  </si>
  <si>
    <t>Amazon Seller Homepage Germany Delivery Policy.docx</t>
  </si>
  <si>
    <t>Amazon Seller Homepage Germany Other policies.docx</t>
  </si>
  <si>
    <t>amazon Seller Homepage Germany Refunds Policy.docx</t>
  </si>
  <si>
    <t>Amazon Seller Homepage Germany.docx</t>
  </si>
  <si>
    <t>Aufsteller_Jobflyer_2026_210x297mm_DE.pdf</t>
  </si>
  <si>
    <t>Jobflyer_2026_105x210mm_DE.pdf</t>
  </si>
  <si>
    <t>Aufsteller_Jobflyer_2026_210x297mm_IT.pdf</t>
  </si>
  <si>
    <t>Jobflyer_2026_105x210mm_IT_EUL.pdf</t>
  </si>
  <si>
    <t>Texte Awin Profil.docx</t>
  </si>
  <si>
    <t>Allgemeine Teilnahmebedingungen zum Partnerprogramm FRITZ91_legal.docx</t>
  </si>
  <si>
    <t>FRITZ Marken Richtlinien Affiliate_legal.docx</t>
  </si>
  <si>
    <t>Übersetzung Automail Oster-Gewinnspiel.docx</t>
  </si>
  <si>
    <t>translations--smart24p2nl1--2026-03-10_de.po</t>
  </si>
  <si>
    <t>translations--myfosp1--2026-03-10_de.po</t>
  </si>
  <si>
    <t>2026-03-10T15-06-38_PM-History-Texts.xml</t>
  </si>
  <si>
    <t>2026-03-10T15-43-40_PM-History-Texts_korr-de.xml</t>
  </si>
  <si>
    <t xml:space="preserve">CH/AT: Lektorat Business Update für März </t>
  </si>
  <si>
    <t>Business Update DE März 2</t>
  </si>
  <si>
    <t>Texte_aus_Bildern.docx</t>
  </si>
  <si>
    <t>4789_nl-NL_die_welt_ist_dein_hotspot_20260311-090655.xml</t>
  </si>
  <si>
    <t>CTA und Sternchentext_Oster Gewinnspiel.docx</t>
  </si>
  <si>
    <t>Teilnahmebedingungen FRITZ! Oster Wimmelbild Gewinnspiel_fsh_TGO.json</t>
  </si>
  <si>
    <t>4798_it-IT_vpn_mit_fritz_20260311-135748.xml</t>
  </si>
  <si>
    <t>4799_es-ES_vpn_mit_fritz_20260311-135807.xml</t>
  </si>
  <si>
    <t>4796_nl-NL_vpn_mit_fritz_20260311-135731.xml</t>
  </si>
  <si>
    <t>TLF FRITZ!Box 5690 DE.docx</t>
  </si>
  <si>
    <t>TLF FRITZ!Repeater 2700 DE.docx</t>
  </si>
  <si>
    <t>TLF FRITZ!Box 6825 4G DE.docx</t>
  </si>
  <si>
    <t>Übersetzung Zertifikate.docx</t>
  </si>
  <si>
    <t>Versand-Timeline_Service-Box-translations-[Sprache]-ONLINE_STORE_THEME.json</t>
  </si>
  <si>
    <t>Übersetzungen_Shop_5690_Pro.docx</t>
  </si>
  <si>
    <t>2 UWG-Hinweise in Forms-App.docx</t>
  </si>
  <si>
    <t>B2B_20260312-translations-[Sprache]-METAOBJECT.json</t>
  </si>
  <si>
    <t>B2B_20260312-translations-[Sprache]-ONLINE_STORE_THEME.json</t>
  </si>
  <si>
    <t>B2B_20260312-translations-[Sprache]-PAGE.json</t>
  </si>
  <si>
    <t>Master_OH_FPowerline_2026-03-13_D-00000090_T-00001006_EngineeringModules_de-DE_en-GB.xml</t>
  </si>
  <si>
    <t>Master_OH_FPowerline_2026-03-13_D-00000090_T-00001006_EngineeringModules_de-DE_en-GB.Fragments.xml</t>
  </si>
  <si>
    <t>Master_OH_FPowerline_2026-03-13_D-00000090_T-00001005_EngineeringModules_de-DE_nl-NL.xml</t>
  </si>
  <si>
    <t>Master_OH_FPowerline_2026-03-13_D-00000090_T-00001005_EngineeringModules_de-DE_nl-NL.Fragments.xml</t>
  </si>
  <si>
    <t>Master_OH_FPowerline_2026-03-13_D-00000090_T-00001002_EngineeringModules_de-DE_fr-FR.xml</t>
  </si>
  <si>
    <t>Master_OH_FPowerline_2026-03-13_D-00000090_T-00001002_EngineeringModules_de-DE_fr-FR.Fragments.xml</t>
  </si>
  <si>
    <t>Master_OH_FPowerline_2026-03-13_D-00000090_T-00001003_EngineeringModules_de-DE_es-ES.xml</t>
  </si>
  <si>
    <t>Master_OH_FPowerline_2026-03-13_D-00000090_T-00001003_EngineeringModules_de-DE_es-ES.Fragments.xml</t>
  </si>
  <si>
    <t>Master_OH_FPowerline_2026-03-13_D-00000090_T-00001004_EngineeringModules_de-DE_it-IT.xml</t>
  </si>
  <si>
    <t>Master_OH_FPowerline_2026-03-13_D-00000090_T-00001004_EngineeringModules_de-DE_it-IT.Fragments.xml</t>
  </si>
  <si>
    <t>Mobile World Congress 2026-de.docx</t>
  </si>
  <si>
    <t>Übersetzung Business Update März</t>
  </si>
  <si>
    <t>ES: Übersetzung Business Update März</t>
  </si>
  <si>
    <t>AllgemeineTeilnahmebedingungen_zumPartnerprogrammFRITZ91_legal-de.docx</t>
  </si>
  <si>
    <t>FRITZ_Marken-RichtlinienAffiliate_legal-de.docx</t>
  </si>
  <si>
    <t>TexteAwin-Profil-de.docx</t>
  </si>
  <si>
    <t>Ankuendigung_FRITZ!Box 7630_Edition_International-de.docx</t>
  </si>
  <si>
    <t>Ankuendigung_FRITZ!Box 7630_Edition_International_DE_korrigiert.docx</t>
  </si>
  <si>
    <t>OH_FB_Sm24p2_v8-2026-03-17_D-00000084_T-00001010_EngineeringModules_de-DE_nl-NL.Fragments.xml</t>
  </si>
  <si>
    <t>OH_FB_Sm24p2_v8-2026-03-17_D-00000084_T-00001010_EngineeringModules_de-DE_nl-NL.xml</t>
  </si>
  <si>
    <t>OH_FB_Sm24p2_v8-2026-03-17_D-00000084_T-00001011_EngineeringModules_de-DE_en-GB.Fragments.xml</t>
  </si>
  <si>
    <t>OH_FB_Sm24p2_v8-2026-03-17_D-00000084_T-00001011_EngineeringModules_de-DE_en-GB.xml</t>
  </si>
  <si>
    <t>OH_FB_Sm24p2_v8-2026-03-17_D-00000084_T-00001009_EngineeringModules_de-DE_it-IT.Fragments.xml</t>
  </si>
  <si>
    <t>OH_FB_Sm24p2_v8-2026-03-17_D-00000084_T-00001009_EngineeringModules_de-DE_it-IT.xml</t>
  </si>
  <si>
    <t>OH_FB_Sm24p2_v8-2026-03-17_D-00000084_T-00001008_EngineeringModules_de-DE_es-ES.Fragments.xml</t>
  </si>
  <si>
    <t>OH_FB_Sm24p2_v8-2026-03-17_D-00000084_T-00001008_EngineeringModules_de-DE_es-ES.xml</t>
  </si>
  <si>
    <t>OH_FB_Sm24p2_v8-2026-03-17_D-00000084_T-00001007_EngineeringModules_de-DE_fr-FR.Fragments.xml</t>
  </si>
  <si>
    <t>OH_FB_Sm24p2_v8-2026-03-17_D-00000084_T-00001007_EngineeringModules_de-DE_fr-FR.xml</t>
  </si>
  <si>
    <t>Master_HB_FB_Smart24p2-2026-03-17_D-00000088_T-00001012_EngineeringModules_de-DE_en-GB.Fragments.xml</t>
  </si>
  <si>
    <t>Master_HB_FB_Smart24p2-2026-03-17_D-00000088_T-00001012_EngineeringModules_de-DE_en-GB.xml</t>
  </si>
  <si>
    <t>FappSH_20260318-de.xliff</t>
  </si>
  <si>
    <t>Amazon Vergleichstabelle.docx</t>
  </si>
  <si>
    <t>Übersetzung Newsletter Osterangebote.docx</t>
  </si>
  <si>
    <t>Übersetzung Formular Oster-Gewinnspiel.docx</t>
  </si>
  <si>
    <t>OH_FB_Sm24p2_v8_Teil2-2026-03-18_D-00000084_T-00001019_EngineeringModules_de-DE_it-IT.xml.xml</t>
  </si>
  <si>
    <t>OH_FB_Sm24p2_v8_Teil2-2026-03-18_D-00000084_T-00001018_EngineeringModules_de-DE_es-ES.xml.xml</t>
  </si>
  <si>
    <t>OH_FB_Sm24p2_v8_Teil2-2026-03-18_D-00000084_T-00001018_EngineeringModules_Fragments_de-DE_es-ES.xml.xml</t>
  </si>
  <si>
    <t>OH_FB_Sm24p2_v8_Teil2-2026-03-18_D-00000084_T-00001020_EngineeringModules_de-DE_nl-NL.xml.xml</t>
  </si>
  <si>
    <t>OH_FB_Sm24p2_v8_Teil2-2026-03-18_D-00000084_T-00001020_EngineeringModules_Fragments_de-DE_nl-NL.xml.xml</t>
  </si>
  <si>
    <t>OH_FB_Sm24p2_v8_Teil2-2026-03-18_D-00000084_T-00001017_EngineeringModules_de-DE_fr-FR.xml.xml</t>
  </si>
  <si>
    <t>OH_FB_Sm24p2_v8_Teil2-2026-03-18_D-00000084_T-00001017_EngineeringModules_Fragments_de-DE_fr-FR.xml.xml</t>
  </si>
  <si>
    <t>FappSH_20260320-de.xliff</t>
  </si>
  <si>
    <t>Master_HB_FFon_v16-2026-03-20_D-00000010_T-00001025_EngineeringModules_de-DE_fr-FR.xml.xml</t>
  </si>
  <si>
    <t>Master_HB_FFon_v16-2026-03-20_D-00000010_T-00001026_EngineeringModules_de-DE_es-ES.xml.xml</t>
  </si>
  <si>
    <t>Master_HB_FFon_v16-2026-03-20_D-00000010_T-00001027_EngineeringModules_de-DE_it-IT.xml.xml</t>
  </si>
  <si>
    <t>Master_HB_FFon_v16-2026-03-20_D-00000010_T-00001028_EngineeringModules_de-DE_nl-NL.xml.xml</t>
  </si>
  <si>
    <t>Master_HB_FFon_v16-2026-03-20_D-00000010_T-00001029_EngineeringModules_de-DE_en-GB.xml.xml</t>
  </si>
  <si>
    <t>Master_HB_FFon_v16-2026-03-20_D-00000010_T-00001029_EngineeringModules_Fragments_de-DE_en-GB.xml.xml</t>
  </si>
  <si>
    <t>Award_Kieskeurig.docx</t>
  </si>
  <si>
    <t>5690_Pro-Claim und Bullets.docx</t>
  </si>
  <si>
    <t>5690_Pro-translations-en-ONLINE_STORE_THEME.json</t>
  </si>
  <si>
    <t>Bewertungen_Awards-translations-[Sprache]-METAOBJECT.json</t>
  </si>
  <si>
    <t>Spotlight_Feedback_2026_DE.docx</t>
  </si>
  <si>
    <t>2026-03-17T14-05-55_PM-History-Texts.xml</t>
  </si>
  <si>
    <t>2026-03-17T15-28-26_PM-History-Texts_korr-de.xml</t>
  </si>
  <si>
    <t>Landingpage FRITZ!-König</t>
  </si>
  <si>
    <t>Übersetzung ins UK Englische | Video Routerfreiheit</t>
  </si>
  <si>
    <t>NL: Award Kieskeurig</t>
  </si>
  <si>
    <t>OH_FB_Sm24p2_v8_Teil3-2026-03-23_D-00000084_T-00001031_EngineeringModules_de-DE_nl-NL.xml.xml</t>
  </si>
  <si>
    <t>OH_FR_Sm24p2_v8_Teil3-2026-03-23_D-00000084_T-00001030_engineeringModules_de-DE_it-IT.xml.xml</t>
  </si>
  <si>
    <t>OH_FB_M21_v38-2026-03-23_D-00000020_T-00001034_EngineeringModules_de-DE_it-IT.xml.xml</t>
  </si>
  <si>
    <t>OH_FB_M21_v38-2026-03-23_D-00000020_T-00001035_EngineeringModules_de-DE_nl-NL.xml.xml</t>
  </si>
  <si>
    <t>6860_v2-translations-[Sprache]-ONLINE_STORE_THEME.json</t>
  </si>
  <si>
    <t>Labortexte - KW13</t>
  </si>
  <si>
    <t>FTTH 2026_de.docx</t>
  </si>
  <si>
    <t>OH_FRep_sm24p2_v1-2026-03-25_D-00000092_T-00001040_EngineeringModules_de-DE_en-GB.xml.xml</t>
  </si>
  <si>
    <t>OH_FRep_sm24p2_v1-2026-03-25_D-00000092_T-00001037_EngineeringModules_de-DE_es-ES.xml.xml</t>
  </si>
  <si>
    <t>OH_FRep_sm24p2_v1-2026-03-25_D-00000092_T-00001038_EngineeringModules_de-DE_it-IT.xml.xml</t>
  </si>
  <si>
    <t>OH_FRep_sm24p2_v1-2026-03-25_D-00000092_T-00001039_EngineeringModules_de-DE_nl-NL.xml.xml</t>
  </si>
  <si>
    <t>OH_FRep_sm24p2_v1-2026-03-25_D-00000092_T-00001036_EngineeringModules_de-DE_fr-FR.xml.xml</t>
  </si>
  <si>
    <t>PSP_6700-translations-[Sprache]-ONLINE_STORE_THEME.json</t>
  </si>
  <si>
    <t>INT_105x73_Booklet_1260v3 Set_DE.idml</t>
  </si>
  <si>
    <t>Newsletter April</t>
  </si>
  <si>
    <t>ES Newsletter April.docx</t>
  </si>
  <si>
    <t>AT: Lektorat Business Update April</t>
  </si>
  <si>
    <t>CH: Lektorat Business Update April</t>
  </si>
  <si>
    <t>4814_nl-NL_sicherheit_beginnt_am_router_20260327-105154.xml</t>
  </si>
  <si>
    <t>TLF_FRITZ!Mesh_Set2700-de.docx</t>
  </si>
  <si>
    <t>TLF_FRITZ!Mesh_Set4200-de.docx</t>
  </si>
  <si>
    <t>Form FRITZ! Shop.docx</t>
  </si>
  <si>
    <t>PDP_6700-translations-[Sprache]-ONLINE_STORE_THEME.json</t>
  </si>
  <si>
    <t>PSPs_6690_5630_5630XGS-translations-[Sprache]-ONLINE_STORE_THEME.json</t>
  </si>
  <si>
    <t>404 - Seite nicht gefunden.docx</t>
  </si>
  <si>
    <t>Landingpage Digitale Souveränität</t>
  </si>
  <si>
    <t>5690 Banner - Übersetzung.docx</t>
  </si>
  <si>
    <t>Anga 2026 Save the Date_de.docx</t>
  </si>
  <si>
    <t>Blog_FRITZ!_glänzt-translations-[Sprache]-ARTICLE.json</t>
  </si>
  <si>
    <t>Blog_FRITZ!_glänzt-translations-[Sprache]-ONLINE_STORE_THEME.json</t>
  </si>
  <si>
    <t>BE-Berlin_(Charlottenburg)_HRB_111009+AD-20260401114534.pdf</t>
  </si>
  <si>
    <t>Pse</t>
  </si>
  <si>
    <t>Jwg</t>
  </si>
  <si>
    <t>Dha</t>
  </si>
  <si>
    <t>TJa</t>
  </si>
  <si>
    <t>Csa</t>
  </si>
  <si>
    <t>LLe</t>
  </si>
  <si>
    <t>Atc</t>
  </si>
  <si>
    <t>KSu</t>
  </si>
  <si>
    <t>BAl</t>
  </si>
  <si>
    <t>PSe</t>
  </si>
  <si>
    <t>KGo</t>
  </si>
  <si>
    <t>Cmi</t>
  </si>
  <si>
    <t>Apa</t>
  </si>
  <si>
    <t>OKE</t>
  </si>
  <si>
    <t>REG</t>
  </si>
  <si>
    <t>JBl</t>
  </si>
  <si>
    <t>TBh</t>
  </si>
  <si>
    <t>JKs</t>
  </si>
  <si>
    <t>LBr</t>
  </si>
  <si>
    <t>Hgk</t>
  </si>
  <si>
    <t>OBe</t>
  </si>
  <si>
    <t>Lca</t>
  </si>
  <si>
    <t>LCa</t>
  </si>
  <si>
    <t>CSa</t>
  </si>
  <si>
    <t>TKO</t>
  </si>
  <si>
    <t>Bal</t>
  </si>
  <si>
    <t>Lle</t>
  </si>
  <si>
    <t>Tvi</t>
  </si>
  <si>
    <t>AGi</t>
  </si>
  <si>
    <t>OFo</t>
  </si>
  <si>
    <t>MSe</t>
  </si>
  <si>
    <t>ATc</t>
  </si>
  <si>
    <t>ALP</t>
  </si>
  <si>
    <t>StM</t>
  </si>
  <si>
    <t>NGu</t>
  </si>
  <si>
    <t>ALp</t>
  </si>
  <si>
    <t>LBu</t>
  </si>
  <si>
    <t>ADo</t>
  </si>
  <si>
    <t>PSE</t>
  </si>
  <si>
    <t>YJo</t>
  </si>
  <si>
    <t>Mse</t>
  </si>
  <si>
    <t>Tja</t>
  </si>
  <si>
    <t>GAb</t>
  </si>
  <si>
    <t>Mre</t>
  </si>
  <si>
    <t>Ost</t>
  </si>
  <si>
    <t>APa</t>
  </si>
  <si>
    <t>Rsa</t>
  </si>
  <si>
    <t>Tpo</t>
  </si>
  <si>
    <t>HCH</t>
  </si>
  <si>
    <t>Dbo</t>
  </si>
  <si>
    <t>AKh</t>
  </si>
  <si>
    <t>CMI</t>
  </si>
  <si>
    <t>Reg</t>
  </si>
  <si>
    <t>FMn</t>
  </si>
  <si>
    <t>RWr</t>
  </si>
  <si>
    <t>KNu</t>
  </si>
  <si>
    <t>Kgo</t>
  </si>
  <si>
    <t>LHe</t>
  </si>
  <si>
    <t>JRI</t>
  </si>
  <si>
    <t>Tgo</t>
  </si>
  <si>
    <t>HHB</t>
  </si>
  <si>
    <t>Ali</t>
  </si>
  <si>
    <t>MXB</t>
  </si>
  <si>
    <t>CWy</t>
  </si>
  <si>
    <t>ATC</t>
  </si>
  <si>
    <t>Kba</t>
  </si>
  <si>
    <t>Ehf</t>
  </si>
  <si>
    <t>Lin</t>
  </si>
  <si>
    <t>Alp</t>
  </si>
  <si>
    <t>SPI</t>
  </si>
  <si>
    <t>NL</t>
  </si>
  <si>
    <t>IT</t>
  </si>
  <si>
    <t>EN</t>
  </si>
  <si>
    <t>ES</t>
  </si>
  <si>
    <t>FR</t>
  </si>
  <si>
    <t>DE</t>
  </si>
  <si>
    <t>SV</t>
  </si>
  <si>
    <t>DA</t>
  </si>
  <si>
    <t>PL</t>
  </si>
  <si>
    <t>NO</t>
  </si>
  <si>
    <t>FI</t>
  </si>
  <si>
    <t>SL</t>
  </si>
  <si>
    <t>Übersetzung Januar newsletter NL.docx</t>
  </si>
  <si>
    <t>geliefert</t>
  </si>
  <si>
    <t>Z:\Produkte\FRITZ!com\deutsch\2026.01</t>
  </si>
  <si>
    <t>Z:\Produkte\F!Box allgemein\Info.txt\Release\25_Smart24-P2\2026.01</t>
  </si>
  <si>
    <t>Z:\Produkte\FRITZ!com\deutsch\2026.01\KW2</t>
  </si>
  <si>
    <t>Z:\Produkte\Einleger und juristische Texte\Data Act\FRITZ!Smart\2026.01</t>
  </si>
  <si>
    <t>Z:\Produkte\F!Apps\FappMyF\GUI\Android\deutsch\2026.01</t>
  </si>
  <si>
    <t>Z:\Produkte\Texte Web, Marketing, etc\deutsch\2026.01</t>
  </si>
  <si>
    <t>Z:\Produkte\Texte Web, Marketing, etc\deutsch\2025.12</t>
  </si>
  <si>
    <t>Z:\International\Tico\work\2026-01-12_D-00000084_T-00000951_de-DE_en-GB.xml</t>
  </si>
  <si>
    <t>Z:\International\Tico\work\2026-01-12_D-00000084_T-00000949_de-DE_it-IT.xml\untranslated</t>
  </si>
  <si>
    <t>Z:\International\Tico\work\2026-01-12_D-00000084_T-00000950_de-DE_nl-NL.xml\untranslated</t>
  </si>
  <si>
    <t>Z:\International\Tico\work\2026-01-12_D-00000084_T-00000948_de-DE_es-ES.xml\untranslated</t>
  </si>
  <si>
    <t>Z:\International\Tico\work\2026-01-12_D-00000084_T-00000947_de-DE_fr-FR.xml\untranslated</t>
  </si>
  <si>
    <t>Z:\Produkte\Texte Web, Marketing, etc\italienisch\2026.01</t>
  </si>
  <si>
    <t>Z:\Produkte\D2C\deutsch\2026.01</t>
  </si>
  <si>
    <t>Z:\Produkte\F!Apps\FappMyF\GUI\iOS\deutsch\2026.01</t>
  </si>
  <si>
    <t>Z:\Produkte\F!Apps\FappMyF\GUI\iOS\spanisch\2026.01</t>
  </si>
  <si>
    <t>Z:\Produkte\F!Apps\FappMyF\GUI\iOS\franzoesisch\2026.01</t>
  </si>
  <si>
    <t>Z:\Produkte\F!Apps\FappMyF\GUI\iOS\italienisch\2026.01</t>
  </si>
  <si>
    <t>Z:\Produkte\F!Apps\FappMyF\GUI\iOS\niederlaendisch\2026.01</t>
  </si>
  <si>
    <t>Z:\Produkte\F!Apps\FappMyF\GUI\iOS\polnisch\2026.01</t>
  </si>
  <si>
    <t>Z:\Produkte\F!Apps\FappMyF\GUI\iOS\slowenisch\2026.01</t>
  </si>
  <si>
    <t>Z:\Produkte\F!Apps\FappMyF\GUI\iOS\englisch\2026.01</t>
  </si>
  <si>
    <t>Z:\International\Tico\work\2026-01-20_D-00000089_T-00000956_de-DE_en-GB.xml</t>
  </si>
  <si>
    <t>Z:\International\Tico\work\2026-01-20_D-00000089_T-00000954_de-DE_it-IT.xml</t>
  </si>
  <si>
    <t>Z:\International\Tico\work\2026-01-20_D-00000089_T-00000955_de-DE_nl-NL.xml\untranslated</t>
  </si>
  <si>
    <t>Z:\International\Tico\work\2026-01-20_D-00000089_T-00000953_de-DE_es-ES.xml\untranslated</t>
  </si>
  <si>
    <t>Z:\International\Tico\work\2026-01-20_D-00000089_T-00000952_de-DE_fr-FR.xml\untranslated</t>
  </si>
  <si>
    <t>Z:\Produkte\F!Powerline\610\2025.11</t>
  </si>
  <si>
    <t>Z:\Produkte\Texte Web, Marketing, etc\englisch\2026.01</t>
  </si>
  <si>
    <t>Z:\Produkte\F!Powerline\GUI\deutsch\2026.01</t>
  </si>
  <si>
    <t>Z:\Produkte\F!Powerline\GUI\englisch\2026.01</t>
  </si>
  <si>
    <t>Z:\Produkte\F!Powerline\Hilfe\deutsch\2026.01 (muss EBu vor der Übersetzung erstellen)</t>
  </si>
  <si>
    <t>Z:\Produkte\F!Powerline\Hilfe\englisch\2026.01</t>
  </si>
  <si>
    <t>Z:\Produkte\FRITZ!com\2026.01\KW04\Übersetzungen</t>
  </si>
  <si>
    <t>Shopify</t>
  </si>
  <si>
    <t>Z:\Produkte\FRITZ!com\2026.01</t>
  </si>
  <si>
    <t>Z:\International\Tico\work\2026-01-21_D-00000058_T-00000958_de-DE_en-GB.xml</t>
  </si>
  <si>
    <t>Z:\Produkte\FRITZ!com\2026.01\KW05\Übersetzungen</t>
  </si>
  <si>
    <t>Z:\International\Tico\work\2026-01-26_D-00000080_T-00000961_de-DE_en-GB.xml</t>
  </si>
  <si>
    <t>Z:\International\Tico\work\2026-01-26_D-00000080_T-00000960_de-DE_nl-NL.xml</t>
  </si>
  <si>
    <t>Z:\Produkte\SKB\deutsch</t>
  </si>
  <si>
    <t>Z:\Produkte\Einleger und juristische Texte\Data Act\FRITZ!Powerline\2026.01</t>
  </si>
  <si>
    <t>Z:\Produkte\Einleger und juristische Texte\Data Act\FRITZ!Box\2026.01</t>
  </si>
  <si>
    <t>Z:\Produkte\Einleger und juristische Texte\Data Act\FRITZ!Repeater\2026.01</t>
  </si>
  <si>
    <t>Z:\Produkte\D2C\polnisch\2026.01</t>
  </si>
  <si>
    <t>Z:\Produkte\F!Box allgemein\GUI-JS3\deutsch\2026.01</t>
  </si>
  <si>
    <t>Z:\Produkte\D2C\englisch\2026.01</t>
  </si>
  <si>
    <t>Z:\Produkte\D2C\italienisch\2026.01</t>
  </si>
  <si>
    <t>Z:\Produkte\MyFRITZ\deutsch\2026.02</t>
  </si>
  <si>
    <t>Z:\Produkte\MyFRITZ\deutsch\2026.01</t>
  </si>
  <si>
    <t>Z:\Produkte\Texte Web, Marketing, etc\deutsch\2026.02</t>
  </si>
  <si>
    <t>Z:\Produkte\F!Box allgemein\Info.txt\Release\25_Smart24-P2\2026.02</t>
  </si>
  <si>
    <t>Z:\Produkte\D2C\deutsch\2026.02</t>
  </si>
  <si>
    <t>Z:\Produkte\Texte Web, Marketing, etc\englisch\2026.02</t>
  </si>
  <si>
    <t>Z:\Produkte\Texte Web, Marketing, etc\italienisch\2026.02</t>
  </si>
  <si>
    <t>Z:\Produkte\FRITZ!com\2026.02\KW06\Übersetzungen</t>
  </si>
  <si>
    <t>Z:\Produkte\F!WLAN Repeater\Mesh Set 2700 (2700)\international\2026.01</t>
  </si>
  <si>
    <t>Z:\Produkte\F!WLAN Repeater\Mesh Set 2700 (2700)\dänisch</t>
  </si>
  <si>
    <t>Z:\Produkte\F!WLAN Repeater\Mesh Set 2700 (2700)\schwedisch</t>
  </si>
  <si>
    <t>Z:\Produkte\F!WLAN Repeater\Mesh Set 4200 (3000 AX)\international\2026.01</t>
  </si>
  <si>
    <t>Z:\Produkte\F!WLAN Repeater\FRITZ!Repeater 1200 AX\international</t>
  </si>
  <si>
    <t>Z:\Produkte\F!WLAN Repeater\FRITZ!Repeater 1700\international\2026.01</t>
  </si>
  <si>
    <t>Z:\Produkte\F!WLAN Repeater\FRITZ!Repeater 2700\international\2026.01</t>
  </si>
  <si>
    <t>Z:\Produkte\F!Apps\FappFon\GUI\Android\deutsch\2026.02</t>
  </si>
  <si>
    <t>Z:\Produkte\F!Apps\FappFon\GUI\Android\italienisch\2026.02</t>
  </si>
  <si>
    <t>Z:\Produkte\F!Apps\Apps_allgemein\ADC\deutsch\2026.02</t>
  </si>
  <si>
    <t>Z:\Produkte\F!Apps\Apps_allgemein\Fundamentals\deutsch\2026.02</t>
  </si>
  <si>
    <t>Z:\Produkte\Texte Web, Marketing, etc\deutsch\2026.02\BP-EN\Teil I</t>
  </si>
  <si>
    <t>Z:\Produkte\Texte Web, Marketing, etc\deutsch\2026.02\BP-EN\Teil II</t>
  </si>
  <si>
    <t>Z:\Produkte\Texte Web, Marketing, etc\deutsch\2026.02\BP-EN\Teil III</t>
  </si>
  <si>
    <t>Z:\Produkte\F!Online-Hilfe\Aktualisierungen</t>
  </si>
  <si>
    <t>Z:\Produkte\F!Box allgemein\GUI-JS3\deutsch\2026.02</t>
  </si>
  <si>
    <t>Z:\Produkte\F!WLAN Repeater\FRITZ!Repeater 3000 AX\international\2026.01\UeM</t>
  </si>
  <si>
    <t>Z:\Produkte\F!WLAN Repeater\FRITZ!Repeater 600\international\2026.01\UeM</t>
  </si>
  <si>
    <t>Z:\Produkte\F!WLAN Repeater\FRITZ!Repeater 6000\international\2026.01\UeM</t>
  </si>
  <si>
    <t>Z:\Produkte\F!WLAN USB\Stick 6700\INT\2026.02\UeM</t>
  </si>
  <si>
    <t>Z:\Produkte\Einleger und juristische Texte\Data Act\FRITZ!Fon\2026.02</t>
  </si>
  <si>
    <t>Z:\Produkte\FRITZ!com\2026.02\KW07\Übersetzungen</t>
  </si>
  <si>
    <t>Z:\Produkte\F!Box allgemein\GUI-html2\deutsch\2026.02</t>
  </si>
  <si>
    <t>Z:\Produkte\F!Box Kurzanleitungen\deutsch</t>
  </si>
  <si>
    <t>Z:\Produkte\F!Box Kurzanleitungen\international\FRITZ!Box 6860 5G</t>
  </si>
  <si>
    <t>Z:\International\Tico\work</t>
  </si>
  <si>
    <t>Z:\Produkte\FRITZ!com\2026.02\KW09\Übersetzungen</t>
  </si>
  <si>
    <t>Z:\International\Tico\work\2026-02-18_D-00000088_T-00000983_de-DE_en-GB.xml\untranslated</t>
  </si>
  <si>
    <t>Z:\Produkte\F!WLAN USB\Stick AC 430 MU-MIMO\international\Booklet\2026.02</t>
  </si>
  <si>
    <t>Z:\Produkte\MyFRITZ\italienisch\2026.02</t>
  </si>
  <si>
    <t>Z:\Produkte\FRITZ!com\2026.02\KW08\DE</t>
  </si>
  <si>
    <t>Z:\Produkte\FRITZ!com\2026.02\KW08\Übersetzungen</t>
  </si>
  <si>
    <t>Z:\Produkte\D2C\englisch\2026.02</t>
  </si>
  <si>
    <t>Z:\Produkte\D2C\spanisch\2026.02</t>
  </si>
  <si>
    <t>Z:\Produkte\D2C\italienisch\2026.02</t>
  </si>
  <si>
    <t>Z:\Produkte\D2C\polnisch\2026.02\Amazon_20260224_translations</t>
  </si>
  <si>
    <t>Z:\Produkte\F!Apps\FappMyF\GUI\Android\deutsch\2026.02</t>
  </si>
  <si>
    <t>Z:\Produkte\F!Powerline\1260v2_Bundle\international</t>
  </si>
  <si>
    <t>Z:\Produkte\Texte Web, Marketing, etc\englisch\2026.03</t>
  </si>
  <si>
    <t>Z:\Produkte\Texte Web, Marketing, etc\niederlaendisch\2026.02</t>
  </si>
  <si>
    <t>Z:\Produkte\Texte Web, Marketing, etc\spanisch\2026.02</t>
  </si>
  <si>
    <t>Z:\Produkte\F!Apps\FappMyF\GUI\Android\italienisch\2026.02</t>
  </si>
  <si>
    <t>Z:\Produkte\F!Apps\FappBoxSetup\deutsch\2026.03</t>
  </si>
  <si>
    <t>Z:\Produkte\F!Apps\FappMyF\GUI\iOS\deutsch\2026.03</t>
  </si>
  <si>
    <t>Z:\Produkte\Texte Web, Marketing, etc\deutsch\2026.03</t>
  </si>
  <si>
    <t>Z:\Produkte\D2C\deutsch\2026.03</t>
  </si>
  <si>
    <t>Z:\Produkte\D2C\spanisch\2026.03</t>
  </si>
  <si>
    <t>Z:\Produkte\FRITZ!com\2026.03\KW10\Übersetzungen</t>
  </si>
  <si>
    <t>Z:\Produkte\F!Box allgemein\Info.txt\Release\25_Smart24-P2\2026.03</t>
  </si>
  <si>
    <t>BP-Technik</t>
  </si>
  <si>
    <t>Z:\Produkte\F!WLAN USB\Stick 6700\INT\2026.02_2\LS</t>
  </si>
  <si>
    <t>Z:\Produkte\F!Apps\FappBoxSetup\spanisch\2026.03</t>
  </si>
  <si>
    <t>Z:\Produkte\F!Apps\FappBoxSetup\franzoesisch\2026.03</t>
  </si>
  <si>
    <t>Z:\Produkte\F!Apps\FappBoxSetup\italienisch\2026.03</t>
  </si>
  <si>
    <t>Z:\Produkte\F!Apps\FappBoxSetup\niederlaendisch\2026.03</t>
  </si>
  <si>
    <t>Z:\Produkte\F!Apps\FappBoxSetup\polnisch\2026.03</t>
  </si>
  <si>
    <t>Z:\Produkte\F!Apps\FappBoxSetup\slowenisch\2026.03</t>
  </si>
  <si>
    <t>Z:\Produkte\F!Apps\FappBoxSetup\englisch\2026.03</t>
  </si>
  <si>
    <t>Z:\Produkte\F!Apps\FappMyF\GUI\iOS\spanisch\2026.03</t>
  </si>
  <si>
    <t>Z:\Produkte\F!Apps\FappMyF\GUI\iOS\franzoesisch\2026.03</t>
  </si>
  <si>
    <t>Z:\Produkte\F!Apps\FappMyF\GUI\iOS\italienisch\2026.03</t>
  </si>
  <si>
    <t>Z:\Produkte\F!Apps\FappMyF\GUI\iOS\niederlaendisch\2026.03</t>
  </si>
  <si>
    <t>Z:\Produkte\F!Apps\FappMyF\GUI\iOS\polnisch\2026.03</t>
  </si>
  <si>
    <t>Z:\Produkte\F!Apps\FappMyF\GUI\iOS\slowenisch\2026.03</t>
  </si>
  <si>
    <t>Z:\Produkte\F!Apps\FappMyF\GUI\iOS\englisch\2026.03</t>
  </si>
  <si>
    <t>Z:\Produkte\F!Apps\FappSmartHome\GUI\Android\deutsch\2026.03</t>
  </si>
  <si>
    <t>Z:\Produkte\F!Apps\Apps_allgemein</t>
  </si>
  <si>
    <t>Z:\Produkte\FRITZ!com\2026.03\KW10</t>
  </si>
  <si>
    <t>Z:\Produkte\F!WLAN Repeater\FRITZ!Repeater 3000 AX\deutsch\Verpackung</t>
  </si>
  <si>
    <t>Z:\Produkte\Einleger und juristische Texte\Handelsregisterauszug_HRB 111009 B</t>
  </si>
  <si>
    <t>Z:\Produkte\Einleger und juristische Texte\Amazon Seller Italy Hompepage legal feedback request</t>
  </si>
  <si>
    <t>Z:\Produkte\Texte Web, Marketing, etc\italienisch\2026.03</t>
  </si>
  <si>
    <t>Z:\Produkte\F!Box allgemein\GUI-JS3\[Sprache]\2026.03</t>
  </si>
  <si>
    <t>AT/CH: Lektorat Business Update für März</t>
  </si>
  <si>
    <t>Z:\Produkte\D2C\[Sprache]\2026.03</t>
  </si>
  <si>
    <t>Z:\Produkte\Testleitfaden\5690</t>
  </si>
  <si>
    <t>Z:\Produkte\Testleitfaden\FR2700</t>
  </si>
  <si>
    <t>Z:\Produkte\Testleitfaden\6825_4G</t>
  </si>
  <si>
    <t>Z:\Produkte\FRITZ!com\2026.03\KW11</t>
  </si>
  <si>
    <t>Z:\International\Tico\work\2026-03-13_D-00000090_T-00001006_de-DE_en-GB.xml\untranslated\</t>
  </si>
  <si>
    <t>Z:\International\Tico\work\2026-03-13_D-00000090_T-00001005_de-DE_nl-NL.xml\untranslated\</t>
  </si>
  <si>
    <t>Z:\International\Tico\work\2026-03-13_D-00000090_T-00001002_de-DE_fr-FR.xml\untranslated\</t>
  </si>
  <si>
    <t>Z:\International\Tico\work\2026-03-13_D-00000090_T-00001003_de-DE_es-ES.xml\</t>
  </si>
  <si>
    <t>Z:\International\Tico\work\2026-03-13_D-00000090_T-00001004_de-DE_it-IT.xml\untranslated\</t>
  </si>
  <si>
    <t>Z:\Produkte\Einleger und juristische Texte\Affiliate-PlattformAWIN</t>
  </si>
  <si>
    <t>Z:\International\Tico\work\2026-03-17_D-00000088_T-00001012_de-DE_en-GB.xml\translated</t>
  </si>
  <si>
    <t>Z:\Produkte\F!Apps\FappSmartHome\GUI\iOS\deutsch\2026.03</t>
  </si>
  <si>
    <t>Z:\Produkte\F!Apps\FappSmartHome\GUI\iOS\spanisch\2026.03</t>
  </si>
  <si>
    <t>Z:\Produkte\F!Apps\FappSmartHome\GUI\iOS\franzoesisch\2026.03</t>
  </si>
  <si>
    <t>Z:\Produkte\F!Apps\FappSmartHome\GUI\iOS\italienisch\2026.03</t>
  </si>
  <si>
    <t>Z:\Produkte\F!Apps\FappSmartHome\GUI\iOS\niederlaendisch\2026.03</t>
  </si>
  <si>
    <t>Z:\Produkte\F!Apps\FappSmartHome\GUI\iOS\polnisch\2026.03</t>
  </si>
  <si>
    <t>Z:\Produkte\F!Apps\FappSmartHome\GUI\iOS\slowenisch\2026.03</t>
  </si>
  <si>
    <t>Z:\Produkte\F!Apps\FappSmartHome\GUI\iOS\englisch\2026.03</t>
  </si>
  <si>
    <t>Z:\Produkte\FRITZ!com\2026.03\KW13</t>
  </si>
  <si>
    <t>Z:\Produkte\FRITZ!com\2026.03\KW12</t>
  </si>
  <si>
    <t>Z:\Produkte\F!Powerline\1260v3_Bundle\INT</t>
  </si>
  <si>
    <t>Z:\Produkte\Testleitfaden</t>
  </si>
  <si>
    <t>Z:\Produkte\FRITZ!com\2026.03\KW14</t>
  </si>
  <si>
    <t>Z:\Produkte\F!Apps\Apps_allgemein\Fundamentals\italienisch\2026.02</t>
  </si>
  <si>
    <t>Z:\Produkte\FRITZ!com\2026.04\KW14</t>
  </si>
  <si>
    <t>Z:\Produkte\Texte Web, Marketing, etc\deutsch\2026.04</t>
  </si>
  <si>
    <t>abgebrochen</t>
  </si>
  <si>
    <t>ENT-Anwendungen</t>
  </si>
  <si>
    <t>VTR-CS-SER-PartnerCommunication</t>
  </si>
  <si>
    <t>KOM-Marketing</t>
  </si>
  <si>
    <t>ALb</t>
  </si>
  <si>
    <t>ENT-BA-GUI-Basis</t>
  </si>
  <si>
    <t>KOM-PR</t>
  </si>
  <si>
    <t>ALe</t>
  </si>
  <si>
    <t>VTR-ChannelSales-CS</t>
  </si>
  <si>
    <t>VTR-CS-CM-Retail</t>
  </si>
  <si>
    <t>ASr</t>
  </si>
  <si>
    <t>VTR-PS-ProjectManagement</t>
  </si>
  <si>
    <t>D2C-MarketingContent</t>
  </si>
  <si>
    <t>AZe</t>
  </si>
  <si>
    <t>ENT-WM-iOS-Apps</t>
  </si>
  <si>
    <t>AZi</t>
  </si>
  <si>
    <t>ENT-PM-F-Box</t>
  </si>
  <si>
    <t>CMi</t>
  </si>
  <si>
    <t>SUP-TCO-KnowledgeManagement</t>
  </si>
  <si>
    <t>CST</t>
  </si>
  <si>
    <t>D2C-Ecommerce</t>
  </si>
  <si>
    <t>CVi</t>
  </si>
  <si>
    <t>ENT-BA-TC-DECT</t>
  </si>
  <si>
    <t>ENT-UIC-iOS</t>
  </si>
  <si>
    <t>DAs</t>
  </si>
  <si>
    <t>DBo</t>
  </si>
  <si>
    <t>KOM-Online</t>
  </si>
  <si>
    <t>DHa</t>
  </si>
  <si>
    <t>ENT-PM-International</t>
  </si>
  <si>
    <t>DHR</t>
  </si>
  <si>
    <t>Doku</t>
  </si>
  <si>
    <t>EBu</t>
  </si>
  <si>
    <t>KOM-Presse</t>
  </si>
  <si>
    <t>EUl</t>
  </si>
  <si>
    <t>FAl</t>
  </si>
  <si>
    <t>ENT-BA-CD-CoreDev4</t>
  </si>
  <si>
    <t>FGU</t>
  </si>
  <si>
    <t>FMo</t>
  </si>
  <si>
    <t>FSH</t>
  </si>
  <si>
    <t>ENT-UIC-HtmlAndMiddleware</t>
  </si>
  <si>
    <t>Gha</t>
  </si>
  <si>
    <t>ENT-PG-Design</t>
  </si>
  <si>
    <t>GLe</t>
  </si>
  <si>
    <t>GPr</t>
  </si>
  <si>
    <t>VTR-CS-CM-PreSalesEducation</t>
  </si>
  <si>
    <t>ENT-IT-BES-CloudServices</t>
  </si>
  <si>
    <t>HGK</t>
  </si>
  <si>
    <t>HMi</t>
  </si>
  <si>
    <t>IBr</t>
  </si>
  <si>
    <t>KOM-PR-International</t>
  </si>
  <si>
    <t>JBy</t>
  </si>
  <si>
    <t>JCa</t>
  </si>
  <si>
    <t>ENT-BA-GUI-JS3</t>
  </si>
  <si>
    <t>JDG</t>
  </si>
  <si>
    <t>JFK</t>
  </si>
  <si>
    <t>SUP-KS-Verwaltung</t>
  </si>
  <si>
    <t>JPv</t>
  </si>
  <si>
    <t>ENT-UIC-Android</t>
  </si>
  <si>
    <t>JRn</t>
  </si>
  <si>
    <t>ENT-WM-Android-Apps</t>
  </si>
  <si>
    <t>JWg</t>
  </si>
  <si>
    <t>KHi</t>
  </si>
  <si>
    <t>VTR-CS-CM-Etail</t>
  </si>
  <si>
    <t>KIs</t>
  </si>
  <si>
    <t>ENT-PM-F-Companions</t>
  </si>
  <si>
    <t>KKs</t>
  </si>
  <si>
    <t>KKr</t>
  </si>
  <si>
    <t>KSh</t>
  </si>
  <si>
    <t>KTe</t>
  </si>
  <si>
    <t>SUP-TechnicalCommunication-TCO</t>
  </si>
  <si>
    <t>Lhe</t>
  </si>
  <si>
    <t>MGr</t>
  </si>
  <si>
    <t>VTR-CS-SER-ProductAdvice</t>
  </si>
  <si>
    <t>MGu</t>
  </si>
  <si>
    <t>MRe</t>
  </si>
  <si>
    <t>VTR-PS-INT-AreaSales</t>
  </si>
  <si>
    <t>ENT-UIC-JS3</t>
  </si>
  <si>
    <t>MSu</t>
  </si>
  <si>
    <t>MxG</t>
  </si>
  <si>
    <t>MZa</t>
  </si>
  <si>
    <t>NGo</t>
  </si>
  <si>
    <t>NHe</t>
  </si>
  <si>
    <t>NRi</t>
  </si>
  <si>
    <t>ENT-RD-Interconnect</t>
  </si>
  <si>
    <t>SUP-KS-2ndLevel</t>
  </si>
  <si>
    <t>Ofr</t>
  </si>
  <si>
    <t>VTR-PS-NAT-SalesManager</t>
  </si>
  <si>
    <t>VTR-CS-ChannelMarketing-CM</t>
  </si>
  <si>
    <t>OSt</t>
  </si>
  <si>
    <t>OSy</t>
  </si>
  <si>
    <t>PMu</t>
  </si>
  <si>
    <t>VTR-Controlling</t>
  </si>
  <si>
    <t>PNe</t>
  </si>
  <si>
    <t>PWi</t>
  </si>
  <si>
    <t>VTR-CS-CM-B2BPOS</t>
  </si>
  <si>
    <t>REg</t>
  </si>
  <si>
    <t>RFl</t>
  </si>
  <si>
    <t>RHo</t>
  </si>
  <si>
    <t>SUP-TCO-LanguageServices</t>
  </si>
  <si>
    <t>RSA</t>
  </si>
  <si>
    <t>D2C-Shop</t>
  </si>
  <si>
    <t>RSh</t>
  </si>
  <si>
    <t>SAd</t>
  </si>
  <si>
    <t>VWA-ZentralerEinkaufUndDienste</t>
  </si>
  <si>
    <t>SDa</t>
  </si>
  <si>
    <t>SDl</t>
  </si>
  <si>
    <t>ENT-IT-BES-DataInsightServices</t>
  </si>
  <si>
    <t>SFa</t>
  </si>
  <si>
    <t>SKm</t>
  </si>
  <si>
    <t>ENT-PV-ProjectManagement</t>
  </si>
  <si>
    <t>SKu</t>
  </si>
  <si>
    <t>SLm</t>
  </si>
  <si>
    <t>SMk</t>
  </si>
  <si>
    <t>SMr</t>
  </si>
  <si>
    <t>SMt</t>
  </si>
  <si>
    <t>SPi</t>
  </si>
  <si>
    <t>SSt</t>
  </si>
  <si>
    <t>ENT-PM-F-OS</t>
  </si>
  <si>
    <t>TGo</t>
  </si>
  <si>
    <t>TGr</t>
  </si>
  <si>
    <t>THa</t>
  </si>
  <si>
    <t>TKo</t>
  </si>
  <si>
    <t>TKr</t>
  </si>
  <si>
    <t>ENT-Produktmanagement-PM</t>
  </si>
  <si>
    <t>TPo</t>
  </si>
  <si>
    <t>TVI</t>
  </si>
  <si>
    <t>UGI</t>
  </si>
  <si>
    <t>VDi</t>
  </si>
  <si>
    <t>VUN</t>
  </si>
  <si>
    <t>SUP-KS-TeamJonas</t>
  </si>
  <si>
    <t>YKo</t>
  </si>
  <si>
    <t>HR-Communication</t>
  </si>
  <si>
    <t>FMN</t>
  </si>
  <si>
    <t>VTR-CampaignsContent</t>
  </si>
  <si>
    <t>EFH</t>
  </si>
  <si>
    <t>Übersetzung</t>
  </si>
  <si>
    <t>Lektorat</t>
  </si>
  <si>
    <t>ADU</t>
  </si>
  <si>
    <t>JKI</t>
  </si>
  <si>
    <t>FSC</t>
  </si>
  <si>
    <t>HME</t>
  </si>
  <si>
    <t>MSI</t>
  </si>
  <si>
    <t>LBO</t>
  </si>
  <si>
    <t>Yabylon</t>
  </si>
  <si>
    <t>MSZ</t>
  </si>
  <si>
    <t>AMZ</t>
  </si>
  <si>
    <t>LSP</t>
  </si>
  <si>
    <t>SRI</t>
  </si>
  <si>
    <t>Cristina</t>
  </si>
  <si>
    <t>CMi/EBu/FSc</t>
  </si>
  <si>
    <t>Cristin</t>
  </si>
  <si>
    <t>Marion</t>
  </si>
  <si>
    <t>EBU</t>
  </si>
  <si>
    <t>r48</t>
  </si>
  <si>
    <t>r46</t>
  </si>
  <si>
    <t>r47</t>
  </si>
  <si>
    <t>r45</t>
  </si>
  <si>
    <t>r65</t>
  </si>
  <si>
    <t>r19</t>
  </si>
  <si>
    <t>r68</t>
  </si>
  <si>
    <t>r67</t>
  </si>
  <si>
    <t>r40</t>
  </si>
  <si>
    <t>LS PM r121</t>
  </si>
  <si>
    <t>LS Vertrieb r124</t>
  </si>
  <si>
    <t>LS TCO r126</t>
  </si>
  <si>
    <t>LS Kom r129</t>
  </si>
  <si>
    <t>r144</t>
  </si>
  <si>
    <t>r149</t>
  </si>
  <si>
    <t>r152</t>
  </si>
  <si>
    <t>156115 + 155855</t>
  </si>
  <si>
    <t>r155</t>
  </si>
  <si>
    <t>r161</t>
  </si>
  <si>
    <t>r177</t>
  </si>
  <si>
    <t>r178</t>
  </si>
  <si>
    <t>jazz</t>
  </si>
  <si>
    <t>E-Mail</t>
  </si>
  <si>
    <t>LS-Tracker</t>
  </si>
  <si>
    <t>r76</t>
  </si>
  <si>
    <t>r77</t>
  </si>
  <si>
    <t>r82</t>
  </si>
  <si>
    <t>r100</t>
  </si>
  <si>
    <t>r106</t>
  </si>
  <si>
    <t>Kom r118</t>
  </si>
  <si>
    <t>Other</t>
  </si>
  <si>
    <t>Eingehalten?</t>
  </si>
  <si>
    <t>GeneralAccountingFinOps</t>
  </si>
  <si>
    <t>GroupAccountingESG</t>
  </si>
  <si>
    <t>CorporateLegal</t>
  </si>
  <si>
    <t>HR-Recruiting</t>
  </si>
  <si>
    <t>NICHT ausgescheckt</t>
  </si>
  <si>
    <t>IT_Newsletter_April.docx</t>
  </si>
  <si>
    <t>Blog_Use Cases Shopify-translations-en-ARTICLE.json</t>
  </si>
  <si>
    <t>Labortexte - KW15</t>
  </si>
  <si>
    <t>HB_FB_sm24p1_v7-2026-04-08_D-00000083_T-00001041_EngineeringModules_de-DE_fr-FR.xml.xml</t>
  </si>
  <si>
    <t>HB_FB_sm24p1_v7-2026-04-08_D-00000083_T-00001041_EngineeringModules_Fragments_de-DE_fr-FR.xml.xml</t>
  </si>
  <si>
    <t>HB_FB_sm24p1_v7-2026-04-08_D-00000083_T-00001042_EngineeringModules_de-DE_es-ES.xml.xml</t>
  </si>
  <si>
    <t>HB_FB_sm24p1_v7-2026-04-08_D-00000083_T-00001042_EngineeringModules_Fragments_de-DE_es-ES.xml.xml</t>
  </si>
  <si>
    <t>HB_FB_sm24p1_v7-2026-04-08_D-00000083_T-00001043_EngineeringModules_de-DE_it-IT.xml.xml</t>
  </si>
  <si>
    <t>HB_FB_sm24p1_v7-2026-04-08_D-00000083_T-00001043_EngineeringModules_Fragments_de-DE_it-IT.xml.xml</t>
  </si>
  <si>
    <t>HB_FB_sm24p1_v7-2026-04-08_D-00000083_T-00001044_EngineeringModules_de-DE_nl-NL.xml.xml</t>
  </si>
  <si>
    <t>HB_FB_sm24p1_v7-2026-04-08_D-00000083_T-00001044_EngineeringModules_Fragments_de-DE_nl-NL.xml.xml</t>
  </si>
  <si>
    <t>HB_FB_sm24p1_v7-2026-04-08_D-00000083_T-00001045_EngineeringModules_de-DE_en-GB.xml.xml</t>
  </si>
  <si>
    <t>Übersetzung FaeB EN 2026-04.docx</t>
  </si>
  <si>
    <t>HB_FB_Sm24p2_v4-2026-04-08_D-00000088_T-00001049_EngineeringModules_de-DE_nl-NL.xml.xml</t>
  </si>
  <si>
    <t>HB_FB_Sm24p2_v4-2026-04-08_D-00000088_T-00001048_EngineeringModules_de-DE_it-IT.xml.xml</t>
  </si>
  <si>
    <t>HB_FB_Sm24p2_v4-2026-04-08_D-00000088_T-00001047_EngineeringModules_de-DE_es-ES.xml.xml</t>
  </si>
  <si>
    <t>HB_FB_Sm24p2_v4-2026-04-08_D-00000088_T-00001046_EngineeringModules_de-DE_fr-FR.xml.xml</t>
  </si>
  <si>
    <t>OH_FB_Sm24P2_v10-2026-04-08_D-00000084_T-00001054_EngineeringModules_de-DE_en-GB.xml</t>
  </si>
  <si>
    <t>OH_FB_Sm24P2_v10-2026-04-08_D-00000084_T-00001053_EngineeringModules_de-DE_nl-NL.xml</t>
  </si>
  <si>
    <t>OH_FB_Sm24P2_v10-2026-04-08_D-00000084_T-00001052_EngineeringModules_de-DE_it-IT.xml</t>
  </si>
  <si>
    <t>OH_FB_Sm24P2_v10-2026-04-08_D-00000084_T-00001051_EngineeringModules_de-DE_es-ES.xml</t>
  </si>
  <si>
    <t>OH_FB_Sm24P2_v10-2026-04-08_D-00000084_T-00001050_EngineeringModules_de-DE_fr-FR.xml</t>
  </si>
  <si>
    <t>r215</t>
  </si>
  <si>
    <t>r216</t>
  </si>
  <si>
    <t>r217</t>
  </si>
  <si>
    <t>r218</t>
  </si>
  <si>
    <t>r213</t>
  </si>
  <si>
    <t>Z:\Produkte\FRITZ!com\2026.04\KW15\DE</t>
  </si>
  <si>
    <t>Z:\Produkte\F!Box allgemein\Info.txt\Release\25_Smart24-P2\2026.04</t>
  </si>
  <si>
    <t>20260421_Information_ueber_die_Datenverarbeitung_im_Bewerbungsprozess_bei_FRITZ-de.docx</t>
  </si>
  <si>
    <t>0000_12-1144_translate-from-de.xml</t>
  </si>
  <si>
    <t>Stunden</t>
  </si>
  <si>
    <t>Wörter</t>
  </si>
  <si>
    <t>Dringend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</si>
</sst>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2F343D"/>
      <name val="Segoe UI"/>
      <family val="2"/>
    </font>
    <font>
      <u/>
      <sz val="11"/>
      <name val="Aptos Narrow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color rgb="FF2F343D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1" applyFill="1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3" fillId="0" borderId="0" xfId="1" applyFont="1" applyFill="1"/>
    <xf numFmtId="0" fontId="2" fillId="0" borderId="0" xfId="1"/>
    <xf numFmtId="0" fontId="8" fillId="0" borderId="0" xfId="0" applyFont="1"/>
    <xf numFmtId="14" fontId="0" fillId="0" borderId="0" xfId="0" applyNumberFormat="1"/>
    <xf numFmtId="14" fontId="3" fillId="0" borderId="0" xfId="0" applyNumberFormat="1" applyFont="1"/>
    <xf numFmtId="14" fontId="0" fillId="0" borderId="0" xfId="0" applyNumberFormat="1" applyAlignment="1">
      <alignment horizontal="right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2" borderId="0" xfId="0" applyFill="1"/>
    <xf numFmtId="20" fontId="0" fillId="0" borderId="0" xfId="0" applyNumberFormat="1"/>
    <xf numFmtId="0" fontId="5" fillId="0" borderId="0" xfId="1" applyFont="1" applyFill="1"/>
    <xf numFmtId="1" fontId="0" fillId="0" borderId="0" xfId="0" applyNumberFormat="1"/>
    <xf numFmtId="0" fontId="1" fillId="0" borderId="0" xfId="0" applyFont="1" applyAlignment="1">
      <alignment vertical="center"/>
    </xf>
    <xf numFmtId="0" fontId="2" fillId="0" borderId="0" xfId="2"/>
    <xf numFmtId="0" fontId="3" fillId="0" borderId="0" xfId="2" applyFont="1"/>
  </cellXfs>
  <cellStyles count="3">
    <cellStyle name="Hyperlink" xfId="2" xr:uid="{A2B90B91-E0C9-4532-BE2F-8D99693EAA62}"/>
    <cellStyle name="Link" xfId="1" builtinId="8"/>
    <cellStyle name="Standard" xfId="0" builtinId="0"/>
  </cellStyles>
  <dxfs count="6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104</xdr:row>
      <xdr:rowOff>0</xdr:rowOff>
    </xdr:from>
    <xdr:to>
      <xdr:col>10</xdr:col>
      <xdr:colOff>19050</xdr:colOff>
      <xdr:row>104</xdr:row>
      <xdr:rowOff>19050</xdr:rowOff>
    </xdr:to>
    <xdr:pic>
      <xdr:nvPicPr>
        <xdr:cNvPr id="2" name="Grafik 1" descr="Hilfe">
          <a:extLst>
            <a:ext uri="{FF2B5EF4-FFF2-40B4-BE49-F238E27FC236}">
              <a16:creationId xmlns:a16="http://schemas.microsoft.com/office/drawing/2014/main" id="{8E757F71-3392-44AE-81B0-085ECCDAF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104</xdr:row>
      <xdr:rowOff>0</xdr:rowOff>
    </xdr:from>
    <xdr:to>
      <xdr:col>10</xdr:col>
      <xdr:colOff>19050</xdr:colOff>
      <xdr:row>104</xdr:row>
      <xdr:rowOff>19050</xdr:rowOff>
    </xdr:to>
    <xdr:pic>
      <xdr:nvPicPr>
        <xdr:cNvPr id="3" name="Grafik 2" descr="Hilfe">
          <a:extLst>
            <a:ext uri="{FF2B5EF4-FFF2-40B4-BE49-F238E27FC236}">
              <a16:creationId xmlns:a16="http://schemas.microsoft.com/office/drawing/2014/main" id="{05E640ED-61D0-410B-A434-981B7AF26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104</xdr:row>
      <xdr:rowOff>0</xdr:rowOff>
    </xdr:from>
    <xdr:to>
      <xdr:col>10</xdr:col>
      <xdr:colOff>19050</xdr:colOff>
      <xdr:row>104</xdr:row>
      <xdr:rowOff>19050</xdr:rowOff>
    </xdr:to>
    <xdr:pic>
      <xdr:nvPicPr>
        <xdr:cNvPr id="4" name="Grafik 3" descr="Hilfe">
          <a:extLst>
            <a:ext uri="{FF2B5EF4-FFF2-40B4-BE49-F238E27FC236}">
              <a16:creationId xmlns:a16="http://schemas.microsoft.com/office/drawing/2014/main" id="{DFC8CAF7-D42A-4797-BA9E-8508F4839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104</xdr:row>
      <xdr:rowOff>0</xdr:rowOff>
    </xdr:from>
    <xdr:to>
      <xdr:col>10</xdr:col>
      <xdr:colOff>19050</xdr:colOff>
      <xdr:row>104</xdr:row>
      <xdr:rowOff>19050</xdr:rowOff>
    </xdr:to>
    <xdr:pic>
      <xdr:nvPicPr>
        <xdr:cNvPr id="5" name="Grafik 4" descr="Hilfe">
          <a:extLst>
            <a:ext uri="{FF2B5EF4-FFF2-40B4-BE49-F238E27FC236}">
              <a16:creationId xmlns:a16="http://schemas.microsoft.com/office/drawing/2014/main" id="{12318516-3569-4EDA-8828-9D706BF5C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104</xdr:row>
      <xdr:rowOff>0</xdr:rowOff>
    </xdr:from>
    <xdr:to>
      <xdr:col>10</xdr:col>
      <xdr:colOff>19050</xdr:colOff>
      <xdr:row>104</xdr:row>
      <xdr:rowOff>19050</xdr:rowOff>
    </xdr:to>
    <xdr:pic>
      <xdr:nvPicPr>
        <xdr:cNvPr id="6" name="Grafik 5" descr="Hilfe">
          <a:extLst>
            <a:ext uri="{FF2B5EF4-FFF2-40B4-BE49-F238E27FC236}">
              <a16:creationId xmlns:a16="http://schemas.microsoft.com/office/drawing/2014/main" id="{651B859D-485D-41F7-9948-65CB63119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7" name="Grafik 6" descr="Hilfe">
          <a:extLst>
            <a:ext uri="{FF2B5EF4-FFF2-40B4-BE49-F238E27FC236}">
              <a16:creationId xmlns:a16="http://schemas.microsoft.com/office/drawing/2014/main" id="{152917E0-3DB2-4F82-9F54-D96631779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8" name="Grafik 7" descr="Hilfe">
          <a:extLst>
            <a:ext uri="{FF2B5EF4-FFF2-40B4-BE49-F238E27FC236}">
              <a16:creationId xmlns:a16="http://schemas.microsoft.com/office/drawing/2014/main" id="{2ADC050B-B91A-464C-BF24-ED265CCF7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9" name="Grafik 8" descr="Hilfe">
          <a:extLst>
            <a:ext uri="{FF2B5EF4-FFF2-40B4-BE49-F238E27FC236}">
              <a16:creationId xmlns:a16="http://schemas.microsoft.com/office/drawing/2014/main" id="{67C75812-57C4-4122-B805-EF2B33B29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0" name="Grafik 9" descr="Hilfe">
          <a:extLst>
            <a:ext uri="{FF2B5EF4-FFF2-40B4-BE49-F238E27FC236}">
              <a16:creationId xmlns:a16="http://schemas.microsoft.com/office/drawing/2014/main" id="{8B6D0929-3B8D-4123-B209-5F31540C6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1" name="Grafik 10" descr="Hilfe">
          <a:extLst>
            <a:ext uri="{FF2B5EF4-FFF2-40B4-BE49-F238E27FC236}">
              <a16:creationId xmlns:a16="http://schemas.microsoft.com/office/drawing/2014/main" id="{EB1F1888-9F1B-4DC6-A453-2E1C9F947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2" name="Grafik 11" descr="Hilfe">
          <a:extLst>
            <a:ext uri="{FF2B5EF4-FFF2-40B4-BE49-F238E27FC236}">
              <a16:creationId xmlns:a16="http://schemas.microsoft.com/office/drawing/2014/main" id="{A6CBE685-B129-4CF8-9CFC-BA323A251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3" name="Grafik 12" descr="Hilfe">
          <a:extLst>
            <a:ext uri="{FF2B5EF4-FFF2-40B4-BE49-F238E27FC236}">
              <a16:creationId xmlns:a16="http://schemas.microsoft.com/office/drawing/2014/main" id="{A7D88D47-8503-4DA2-8F76-4099A7CA3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4" name="Grafik 13" descr="Hilfe">
          <a:extLst>
            <a:ext uri="{FF2B5EF4-FFF2-40B4-BE49-F238E27FC236}">
              <a16:creationId xmlns:a16="http://schemas.microsoft.com/office/drawing/2014/main" id="{30E64030-AADE-464E-B701-B8941437B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5" name="Grafik 14" descr="Hilfe">
          <a:extLst>
            <a:ext uri="{FF2B5EF4-FFF2-40B4-BE49-F238E27FC236}">
              <a16:creationId xmlns:a16="http://schemas.microsoft.com/office/drawing/2014/main" id="{9791EA5C-C02C-4F9C-B921-6110809A2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6" name="Grafik 15" descr="Hilfe">
          <a:extLst>
            <a:ext uri="{FF2B5EF4-FFF2-40B4-BE49-F238E27FC236}">
              <a16:creationId xmlns:a16="http://schemas.microsoft.com/office/drawing/2014/main" id="{BE0239C7-F67F-4331-A7AB-42770827D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7" name="Grafik 16" descr="Hilfe">
          <a:extLst>
            <a:ext uri="{FF2B5EF4-FFF2-40B4-BE49-F238E27FC236}">
              <a16:creationId xmlns:a16="http://schemas.microsoft.com/office/drawing/2014/main" id="{BC841AE0-51E0-4144-92AF-0E4F5A941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8" name="Grafik 17" descr="Hilfe">
          <a:extLst>
            <a:ext uri="{FF2B5EF4-FFF2-40B4-BE49-F238E27FC236}">
              <a16:creationId xmlns:a16="http://schemas.microsoft.com/office/drawing/2014/main" id="{9E271038-82F2-4188-A34A-528519B62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9" name="Grafik 18" descr="Hilfe">
          <a:extLst>
            <a:ext uri="{FF2B5EF4-FFF2-40B4-BE49-F238E27FC236}">
              <a16:creationId xmlns:a16="http://schemas.microsoft.com/office/drawing/2014/main" id="{180CB55F-ECCA-4308-9CF2-AA3C1F7B5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0" name="Grafik 19" descr="Hilfe">
          <a:extLst>
            <a:ext uri="{FF2B5EF4-FFF2-40B4-BE49-F238E27FC236}">
              <a16:creationId xmlns:a16="http://schemas.microsoft.com/office/drawing/2014/main" id="{C1401802-D7CB-4C79-8E94-277B474D6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1" name="Grafik 20" descr="Hilfe">
          <a:extLst>
            <a:ext uri="{FF2B5EF4-FFF2-40B4-BE49-F238E27FC236}">
              <a16:creationId xmlns:a16="http://schemas.microsoft.com/office/drawing/2014/main" id="{03B1E522-F183-48FF-9194-D9ED55D22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2" name="Grafik 21" descr="Hilfe">
          <a:extLst>
            <a:ext uri="{FF2B5EF4-FFF2-40B4-BE49-F238E27FC236}">
              <a16:creationId xmlns:a16="http://schemas.microsoft.com/office/drawing/2014/main" id="{9D8A1065-0D5E-4E17-AC6E-5485ECB26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3" name="Grafik 22" descr="Hilfe">
          <a:extLst>
            <a:ext uri="{FF2B5EF4-FFF2-40B4-BE49-F238E27FC236}">
              <a16:creationId xmlns:a16="http://schemas.microsoft.com/office/drawing/2014/main" id="{FE84426F-E0EB-408A-A589-B8B9941AE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4" name="Grafik 23" descr="Hilfe">
          <a:extLst>
            <a:ext uri="{FF2B5EF4-FFF2-40B4-BE49-F238E27FC236}">
              <a16:creationId xmlns:a16="http://schemas.microsoft.com/office/drawing/2014/main" id="{E404558E-9723-4027-8905-8CBE8EF74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5" name="Grafik 24" descr="Hilfe">
          <a:extLst>
            <a:ext uri="{FF2B5EF4-FFF2-40B4-BE49-F238E27FC236}">
              <a16:creationId xmlns:a16="http://schemas.microsoft.com/office/drawing/2014/main" id="{5ABE694F-0CD4-4277-97E9-6C56B4CC3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6" name="Grafik 25" descr="Hilfe">
          <a:extLst>
            <a:ext uri="{FF2B5EF4-FFF2-40B4-BE49-F238E27FC236}">
              <a16:creationId xmlns:a16="http://schemas.microsoft.com/office/drawing/2014/main" id="{477F826C-8908-4F60-9F3F-E42F81519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7" name="Grafik 26" descr="Hilfe">
          <a:extLst>
            <a:ext uri="{FF2B5EF4-FFF2-40B4-BE49-F238E27FC236}">
              <a16:creationId xmlns:a16="http://schemas.microsoft.com/office/drawing/2014/main" id="{308A1443-5421-4CA2-A956-6A8E5D3ED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8" name="Grafik 27" descr="Hilfe">
          <a:extLst>
            <a:ext uri="{FF2B5EF4-FFF2-40B4-BE49-F238E27FC236}">
              <a16:creationId xmlns:a16="http://schemas.microsoft.com/office/drawing/2014/main" id="{727985ED-D2B2-4329-89FE-040577D6F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9" name="Grafik 28" descr="Hilfe">
          <a:extLst>
            <a:ext uri="{FF2B5EF4-FFF2-40B4-BE49-F238E27FC236}">
              <a16:creationId xmlns:a16="http://schemas.microsoft.com/office/drawing/2014/main" id="{598DFE1F-6EB6-47BC-801C-6EA2622F8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30" name="Grafik 29" descr="Hilfe">
          <a:extLst>
            <a:ext uri="{FF2B5EF4-FFF2-40B4-BE49-F238E27FC236}">
              <a16:creationId xmlns:a16="http://schemas.microsoft.com/office/drawing/2014/main" id="{C7212EF3-AD16-46EF-BE00-87224D66F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31" name="Grafik 30" descr="Hilfe">
          <a:extLst>
            <a:ext uri="{FF2B5EF4-FFF2-40B4-BE49-F238E27FC236}">
              <a16:creationId xmlns:a16="http://schemas.microsoft.com/office/drawing/2014/main" id="{5BC78026-40BC-4488-BE27-353C536B6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32" name="Grafik 31" descr="Hilfe">
          <a:extLst>
            <a:ext uri="{FF2B5EF4-FFF2-40B4-BE49-F238E27FC236}">
              <a16:creationId xmlns:a16="http://schemas.microsoft.com/office/drawing/2014/main" id="{33E5DA81-E6F3-4DAB-9C4E-0EDDE8EBB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33" name="Grafik 32" descr="Hilfe">
          <a:extLst>
            <a:ext uri="{FF2B5EF4-FFF2-40B4-BE49-F238E27FC236}">
              <a16:creationId xmlns:a16="http://schemas.microsoft.com/office/drawing/2014/main" id="{37D020AD-0221-4285-AFAC-E548DA198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34" name="Grafik 33" descr="Hilfe">
          <a:extLst>
            <a:ext uri="{FF2B5EF4-FFF2-40B4-BE49-F238E27FC236}">
              <a16:creationId xmlns:a16="http://schemas.microsoft.com/office/drawing/2014/main" id="{FBF11D31-2E03-4247-B09F-19655DC58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35" name="Grafik 34" descr="Hilfe">
          <a:extLst>
            <a:ext uri="{FF2B5EF4-FFF2-40B4-BE49-F238E27FC236}">
              <a16:creationId xmlns:a16="http://schemas.microsoft.com/office/drawing/2014/main" id="{24CB5B8A-5304-4712-9528-6C3EE0B71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36" name="Grafik 35" descr="Hilfe">
          <a:extLst>
            <a:ext uri="{FF2B5EF4-FFF2-40B4-BE49-F238E27FC236}">
              <a16:creationId xmlns:a16="http://schemas.microsoft.com/office/drawing/2014/main" id="{80B06A44-7D9B-430A-9180-DC859BF39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37" name="Grafik 36" descr="Hilfe">
          <a:extLst>
            <a:ext uri="{FF2B5EF4-FFF2-40B4-BE49-F238E27FC236}">
              <a16:creationId xmlns:a16="http://schemas.microsoft.com/office/drawing/2014/main" id="{3DC31B33-2A2E-4618-929F-03C6219C8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38" name="Grafik 37" descr="Hilfe">
          <a:extLst>
            <a:ext uri="{FF2B5EF4-FFF2-40B4-BE49-F238E27FC236}">
              <a16:creationId xmlns:a16="http://schemas.microsoft.com/office/drawing/2014/main" id="{55B85709-2A09-4CFF-A8C0-9A8210041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39" name="Grafik 38" descr="Hilfe">
          <a:extLst>
            <a:ext uri="{FF2B5EF4-FFF2-40B4-BE49-F238E27FC236}">
              <a16:creationId xmlns:a16="http://schemas.microsoft.com/office/drawing/2014/main" id="{64D9F59B-FF89-4B43-AE2B-76C747F63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40" name="Grafik 39" descr="Hilfe">
          <a:extLst>
            <a:ext uri="{FF2B5EF4-FFF2-40B4-BE49-F238E27FC236}">
              <a16:creationId xmlns:a16="http://schemas.microsoft.com/office/drawing/2014/main" id="{8DA01E37-5A6C-4D5A-904E-B02F30F40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41" name="Grafik 40" descr="Hilfe">
          <a:extLst>
            <a:ext uri="{FF2B5EF4-FFF2-40B4-BE49-F238E27FC236}">
              <a16:creationId xmlns:a16="http://schemas.microsoft.com/office/drawing/2014/main" id="{3F494C98-6F09-431A-9EC4-F5DE3DAC7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42" name="Grafik 41" descr="Hilfe">
          <a:extLst>
            <a:ext uri="{FF2B5EF4-FFF2-40B4-BE49-F238E27FC236}">
              <a16:creationId xmlns:a16="http://schemas.microsoft.com/office/drawing/2014/main" id="{6BBD8647-B6BA-4D89-B822-E063F526E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43" name="Grafik 42" descr="Hilfe">
          <a:extLst>
            <a:ext uri="{FF2B5EF4-FFF2-40B4-BE49-F238E27FC236}">
              <a16:creationId xmlns:a16="http://schemas.microsoft.com/office/drawing/2014/main" id="{D4FD07B0-5A7C-4E22-AA28-51264FF79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44" name="Grafik 43" descr="Hilfe">
          <a:extLst>
            <a:ext uri="{FF2B5EF4-FFF2-40B4-BE49-F238E27FC236}">
              <a16:creationId xmlns:a16="http://schemas.microsoft.com/office/drawing/2014/main" id="{1F6FF04E-740B-4048-8386-BC913070B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45" name="Grafik 44" descr="Hilfe">
          <a:extLst>
            <a:ext uri="{FF2B5EF4-FFF2-40B4-BE49-F238E27FC236}">
              <a16:creationId xmlns:a16="http://schemas.microsoft.com/office/drawing/2014/main" id="{B9587E88-5907-4B20-8304-16E203DF8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46" name="Grafik 45" descr="Hilfe">
          <a:extLst>
            <a:ext uri="{FF2B5EF4-FFF2-40B4-BE49-F238E27FC236}">
              <a16:creationId xmlns:a16="http://schemas.microsoft.com/office/drawing/2014/main" id="{9A5C57FF-AE18-4D1B-8EFC-C22D42F4F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47" name="Grafik 46" descr="Hilfe">
          <a:extLst>
            <a:ext uri="{FF2B5EF4-FFF2-40B4-BE49-F238E27FC236}">
              <a16:creationId xmlns:a16="http://schemas.microsoft.com/office/drawing/2014/main" id="{CC4E096D-2D34-468D-B2F6-FDDE1A624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48" name="Grafik 47" descr="Hilfe">
          <a:extLst>
            <a:ext uri="{FF2B5EF4-FFF2-40B4-BE49-F238E27FC236}">
              <a16:creationId xmlns:a16="http://schemas.microsoft.com/office/drawing/2014/main" id="{BB1F6371-3D52-4410-A954-4CA3D558A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49" name="Grafik 48" descr="Hilfe">
          <a:extLst>
            <a:ext uri="{FF2B5EF4-FFF2-40B4-BE49-F238E27FC236}">
              <a16:creationId xmlns:a16="http://schemas.microsoft.com/office/drawing/2014/main" id="{F62988B3-940C-4563-8EC8-DD29CF9B3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50" name="Grafik 49" descr="Hilfe">
          <a:extLst>
            <a:ext uri="{FF2B5EF4-FFF2-40B4-BE49-F238E27FC236}">
              <a16:creationId xmlns:a16="http://schemas.microsoft.com/office/drawing/2014/main" id="{6F5AC3E1-97B7-4215-B6F4-5F361077B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51" name="Grafik 50" descr="Hilfe">
          <a:extLst>
            <a:ext uri="{FF2B5EF4-FFF2-40B4-BE49-F238E27FC236}">
              <a16:creationId xmlns:a16="http://schemas.microsoft.com/office/drawing/2014/main" id="{5AA34625-08A6-4778-8855-42557AA1F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52" name="Grafik 51" descr="Hilfe">
          <a:extLst>
            <a:ext uri="{FF2B5EF4-FFF2-40B4-BE49-F238E27FC236}">
              <a16:creationId xmlns:a16="http://schemas.microsoft.com/office/drawing/2014/main" id="{7B3B1377-7DFD-41CF-B949-1226B6638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53" name="Grafik 52" descr="Hilfe">
          <a:extLst>
            <a:ext uri="{FF2B5EF4-FFF2-40B4-BE49-F238E27FC236}">
              <a16:creationId xmlns:a16="http://schemas.microsoft.com/office/drawing/2014/main" id="{C5836179-D7DC-4649-B434-12E8D303E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54" name="Grafik 53" descr="Hilfe">
          <a:extLst>
            <a:ext uri="{FF2B5EF4-FFF2-40B4-BE49-F238E27FC236}">
              <a16:creationId xmlns:a16="http://schemas.microsoft.com/office/drawing/2014/main" id="{EF258728-2202-44D1-843C-5143C9530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55" name="Grafik 54" descr="Hilfe">
          <a:extLst>
            <a:ext uri="{FF2B5EF4-FFF2-40B4-BE49-F238E27FC236}">
              <a16:creationId xmlns:a16="http://schemas.microsoft.com/office/drawing/2014/main" id="{1A3E4F9F-1388-41FA-BD1C-A569C7A60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56" name="Grafik 55" descr="Hilfe">
          <a:extLst>
            <a:ext uri="{FF2B5EF4-FFF2-40B4-BE49-F238E27FC236}">
              <a16:creationId xmlns:a16="http://schemas.microsoft.com/office/drawing/2014/main" id="{C962B6C2-F8E3-4D2B-8683-4D2FA2B41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57" name="Grafik 56" descr="Hilfe">
          <a:extLst>
            <a:ext uri="{FF2B5EF4-FFF2-40B4-BE49-F238E27FC236}">
              <a16:creationId xmlns:a16="http://schemas.microsoft.com/office/drawing/2014/main" id="{A74F63E1-E981-4FE3-A337-51ED863C9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58" name="Grafik 57" descr="Hilfe">
          <a:extLst>
            <a:ext uri="{FF2B5EF4-FFF2-40B4-BE49-F238E27FC236}">
              <a16:creationId xmlns:a16="http://schemas.microsoft.com/office/drawing/2014/main" id="{E8206EB1-884A-4238-A83D-C6D0E752B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59" name="Grafik 58" descr="Hilfe">
          <a:extLst>
            <a:ext uri="{FF2B5EF4-FFF2-40B4-BE49-F238E27FC236}">
              <a16:creationId xmlns:a16="http://schemas.microsoft.com/office/drawing/2014/main" id="{AA9D8D5F-7EE7-4DD2-A592-29CEAE331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60" name="Grafik 59" descr="Hilfe">
          <a:extLst>
            <a:ext uri="{FF2B5EF4-FFF2-40B4-BE49-F238E27FC236}">
              <a16:creationId xmlns:a16="http://schemas.microsoft.com/office/drawing/2014/main" id="{0B715279-FD57-41E3-9AF5-94B813175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61" name="Grafik 60" descr="Hilfe">
          <a:extLst>
            <a:ext uri="{FF2B5EF4-FFF2-40B4-BE49-F238E27FC236}">
              <a16:creationId xmlns:a16="http://schemas.microsoft.com/office/drawing/2014/main" id="{6BF79105-7D67-48CB-8C38-552E11E77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62" name="Grafik 61" descr="Hilfe">
          <a:extLst>
            <a:ext uri="{FF2B5EF4-FFF2-40B4-BE49-F238E27FC236}">
              <a16:creationId xmlns:a16="http://schemas.microsoft.com/office/drawing/2014/main" id="{E149DE12-B42F-4859-B8C1-9C4B0A518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63" name="Grafik 62" descr="Hilfe">
          <a:extLst>
            <a:ext uri="{FF2B5EF4-FFF2-40B4-BE49-F238E27FC236}">
              <a16:creationId xmlns:a16="http://schemas.microsoft.com/office/drawing/2014/main" id="{95A8245B-A6DB-4738-A8E3-368D2DA35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64" name="Grafik 63" descr="Hilfe">
          <a:extLst>
            <a:ext uri="{FF2B5EF4-FFF2-40B4-BE49-F238E27FC236}">
              <a16:creationId xmlns:a16="http://schemas.microsoft.com/office/drawing/2014/main" id="{B0228182-E407-4EDA-B287-3221D29C3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65" name="Grafik 64" descr="Hilfe">
          <a:extLst>
            <a:ext uri="{FF2B5EF4-FFF2-40B4-BE49-F238E27FC236}">
              <a16:creationId xmlns:a16="http://schemas.microsoft.com/office/drawing/2014/main" id="{F15B28AA-B948-400A-A21B-78D3261EB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66" name="Grafik 65" descr="Hilfe">
          <a:extLst>
            <a:ext uri="{FF2B5EF4-FFF2-40B4-BE49-F238E27FC236}">
              <a16:creationId xmlns:a16="http://schemas.microsoft.com/office/drawing/2014/main" id="{05C4E29D-A28A-4E86-98C0-76B35A3E2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67" name="Grafik 66" descr="Hilfe">
          <a:extLst>
            <a:ext uri="{FF2B5EF4-FFF2-40B4-BE49-F238E27FC236}">
              <a16:creationId xmlns:a16="http://schemas.microsoft.com/office/drawing/2014/main" id="{F3ABD09D-C451-42B6-9290-554CD6841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68" name="Grafik 67" descr="Hilfe">
          <a:extLst>
            <a:ext uri="{FF2B5EF4-FFF2-40B4-BE49-F238E27FC236}">
              <a16:creationId xmlns:a16="http://schemas.microsoft.com/office/drawing/2014/main" id="{13EB8D68-78D8-4A6C-A9A6-97D93F24B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69" name="Grafik 68" descr="Hilfe">
          <a:extLst>
            <a:ext uri="{FF2B5EF4-FFF2-40B4-BE49-F238E27FC236}">
              <a16:creationId xmlns:a16="http://schemas.microsoft.com/office/drawing/2014/main" id="{D0022318-778D-42A6-8C78-2671E1584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70" name="Grafik 69" descr="Hilfe">
          <a:extLst>
            <a:ext uri="{FF2B5EF4-FFF2-40B4-BE49-F238E27FC236}">
              <a16:creationId xmlns:a16="http://schemas.microsoft.com/office/drawing/2014/main" id="{3957C8E3-6EF5-41F3-9076-FDD26479E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71" name="Grafik 70" descr="Hilfe">
          <a:extLst>
            <a:ext uri="{FF2B5EF4-FFF2-40B4-BE49-F238E27FC236}">
              <a16:creationId xmlns:a16="http://schemas.microsoft.com/office/drawing/2014/main" id="{F392285E-070C-461F-B98B-32A12E5C5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72" name="Grafik 71" descr="Hilfe">
          <a:extLst>
            <a:ext uri="{FF2B5EF4-FFF2-40B4-BE49-F238E27FC236}">
              <a16:creationId xmlns:a16="http://schemas.microsoft.com/office/drawing/2014/main" id="{25974E26-FBE0-4622-AED9-22900B4F0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73" name="Grafik 72" descr="Hilfe">
          <a:extLst>
            <a:ext uri="{FF2B5EF4-FFF2-40B4-BE49-F238E27FC236}">
              <a16:creationId xmlns:a16="http://schemas.microsoft.com/office/drawing/2014/main" id="{E8E7F199-8E7E-4906-8D72-2C5C54730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74" name="Grafik 73" descr="Hilfe">
          <a:extLst>
            <a:ext uri="{FF2B5EF4-FFF2-40B4-BE49-F238E27FC236}">
              <a16:creationId xmlns:a16="http://schemas.microsoft.com/office/drawing/2014/main" id="{197922DF-C7B0-45DB-B3F1-049196437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75" name="Grafik 74" descr="Hilfe">
          <a:extLst>
            <a:ext uri="{FF2B5EF4-FFF2-40B4-BE49-F238E27FC236}">
              <a16:creationId xmlns:a16="http://schemas.microsoft.com/office/drawing/2014/main" id="{36F43BCE-85E0-44CC-BC31-565C7D415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76" name="Grafik 75" descr="Hilfe">
          <a:extLst>
            <a:ext uri="{FF2B5EF4-FFF2-40B4-BE49-F238E27FC236}">
              <a16:creationId xmlns:a16="http://schemas.microsoft.com/office/drawing/2014/main" id="{44F8AEE8-401B-4BC0-B85C-EC7549A93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77" name="Grafik 76" descr="Hilfe">
          <a:extLst>
            <a:ext uri="{FF2B5EF4-FFF2-40B4-BE49-F238E27FC236}">
              <a16:creationId xmlns:a16="http://schemas.microsoft.com/office/drawing/2014/main" id="{1DC09C9B-7B60-425E-9F86-38732B94F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78" name="Grafik 77" descr="Hilfe">
          <a:extLst>
            <a:ext uri="{FF2B5EF4-FFF2-40B4-BE49-F238E27FC236}">
              <a16:creationId xmlns:a16="http://schemas.microsoft.com/office/drawing/2014/main" id="{B58354C7-0111-44F5-9EF9-2AEEDCAAC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79" name="Grafik 78" descr="Hilfe">
          <a:extLst>
            <a:ext uri="{FF2B5EF4-FFF2-40B4-BE49-F238E27FC236}">
              <a16:creationId xmlns:a16="http://schemas.microsoft.com/office/drawing/2014/main" id="{A02C78BB-2FFA-423B-8425-6044B0D68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80" name="Grafik 79" descr="Hilfe">
          <a:extLst>
            <a:ext uri="{FF2B5EF4-FFF2-40B4-BE49-F238E27FC236}">
              <a16:creationId xmlns:a16="http://schemas.microsoft.com/office/drawing/2014/main" id="{B4616B15-EA19-43AD-A27D-A029D8867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81" name="Grafik 80" descr="Hilfe">
          <a:extLst>
            <a:ext uri="{FF2B5EF4-FFF2-40B4-BE49-F238E27FC236}">
              <a16:creationId xmlns:a16="http://schemas.microsoft.com/office/drawing/2014/main" id="{A50E351E-4849-442B-A9B1-8B38F4F44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82" name="Grafik 81" descr="Hilfe">
          <a:extLst>
            <a:ext uri="{FF2B5EF4-FFF2-40B4-BE49-F238E27FC236}">
              <a16:creationId xmlns:a16="http://schemas.microsoft.com/office/drawing/2014/main" id="{4ED82674-E40F-406B-BA55-1E9FA0481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83" name="Grafik 82" descr="Hilfe">
          <a:extLst>
            <a:ext uri="{FF2B5EF4-FFF2-40B4-BE49-F238E27FC236}">
              <a16:creationId xmlns:a16="http://schemas.microsoft.com/office/drawing/2014/main" id="{00D8C21D-10D6-4F39-914E-08ED7F2A3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84" name="Grafik 83" descr="Hilfe">
          <a:extLst>
            <a:ext uri="{FF2B5EF4-FFF2-40B4-BE49-F238E27FC236}">
              <a16:creationId xmlns:a16="http://schemas.microsoft.com/office/drawing/2014/main" id="{0B042ABB-93DA-4121-9083-9463D262F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85" name="Grafik 84" descr="Hilfe">
          <a:extLst>
            <a:ext uri="{FF2B5EF4-FFF2-40B4-BE49-F238E27FC236}">
              <a16:creationId xmlns:a16="http://schemas.microsoft.com/office/drawing/2014/main" id="{F1C91276-D0A7-4CFC-BA9E-DBDFDB17D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86" name="Grafik 85" descr="Hilfe">
          <a:extLst>
            <a:ext uri="{FF2B5EF4-FFF2-40B4-BE49-F238E27FC236}">
              <a16:creationId xmlns:a16="http://schemas.microsoft.com/office/drawing/2014/main" id="{F49A040C-6BC9-4FB7-8ABF-851364151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87" name="Grafik 86" descr="Hilfe">
          <a:extLst>
            <a:ext uri="{FF2B5EF4-FFF2-40B4-BE49-F238E27FC236}">
              <a16:creationId xmlns:a16="http://schemas.microsoft.com/office/drawing/2014/main" id="{BAD5AD38-9B8F-4E20-9158-C2F670299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88" name="Grafik 87" descr="Hilfe">
          <a:extLst>
            <a:ext uri="{FF2B5EF4-FFF2-40B4-BE49-F238E27FC236}">
              <a16:creationId xmlns:a16="http://schemas.microsoft.com/office/drawing/2014/main" id="{49FA05AE-5E81-446C-8627-0A9BCEEA6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89" name="Grafik 88" descr="Hilfe">
          <a:extLst>
            <a:ext uri="{FF2B5EF4-FFF2-40B4-BE49-F238E27FC236}">
              <a16:creationId xmlns:a16="http://schemas.microsoft.com/office/drawing/2014/main" id="{B2F1F625-D705-4E20-B2B4-A2D4AFD57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90" name="Grafik 89" descr="Hilfe">
          <a:extLst>
            <a:ext uri="{FF2B5EF4-FFF2-40B4-BE49-F238E27FC236}">
              <a16:creationId xmlns:a16="http://schemas.microsoft.com/office/drawing/2014/main" id="{8CDB676C-E12E-4A83-9604-562FDD06B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91" name="Grafik 90" descr="Hilfe">
          <a:extLst>
            <a:ext uri="{FF2B5EF4-FFF2-40B4-BE49-F238E27FC236}">
              <a16:creationId xmlns:a16="http://schemas.microsoft.com/office/drawing/2014/main" id="{25DF53EE-75EC-47FC-926C-24A9EB73A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92" name="Grafik 91" descr="Hilfe">
          <a:extLst>
            <a:ext uri="{FF2B5EF4-FFF2-40B4-BE49-F238E27FC236}">
              <a16:creationId xmlns:a16="http://schemas.microsoft.com/office/drawing/2014/main" id="{A05E04F6-4EA6-456A-A123-E899ADEE7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93" name="Grafik 92" descr="Hilfe">
          <a:extLst>
            <a:ext uri="{FF2B5EF4-FFF2-40B4-BE49-F238E27FC236}">
              <a16:creationId xmlns:a16="http://schemas.microsoft.com/office/drawing/2014/main" id="{DB2B1D97-0AE2-4907-9742-FE69D6EA5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94" name="Grafik 93" descr="Hilfe">
          <a:extLst>
            <a:ext uri="{FF2B5EF4-FFF2-40B4-BE49-F238E27FC236}">
              <a16:creationId xmlns:a16="http://schemas.microsoft.com/office/drawing/2014/main" id="{25B259A8-360F-4F51-89EE-F6F7A8D5F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95" name="Grafik 94" descr="Hilfe">
          <a:extLst>
            <a:ext uri="{FF2B5EF4-FFF2-40B4-BE49-F238E27FC236}">
              <a16:creationId xmlns:a16="http://schemas.microsoft.com/office/drawing/2014/main" id="{9331DFE3-03CF-419F-B748-4CD7BD114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96" name="Grafik 95" descr="Hilfe">
          <a:extLst>
            <a:ext uri="{FF2B5EF4-FFF2-40B4-BE49-F238E27FC236}">
              <a16:creationId xmlns:a16="http://schemas.microsoft.com/office/drawing/2014/main" id="{3AC74A30-B317-4BE9-BA86-A53A81A05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97" name="Grafik 96" descr="Hilfe">
          <a:extLst>
            <a:ext uri="{FF2B5EF4-FFF2-40B4-BE49-F238E27FC236}">
              <a16:creationId xmlns:a16="http://schemas.microsoft.com/office/drawing/2014/main" id="{D7C21793-67AA-4900-926F-41768804C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98" name="Grafik 97" descr="Hilfe">
          <a:extLst>
            <a:ext uri="{FF2B5EF4-FFF2-40B4-BE49-F238E27FC236}">
              <a16:creationId xmlns:a16="http://schemas.microsoft.com/office/drawing/2014/main" id="{B781D2CD-5A07-48FB-8EB4-AC2276811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99" name="Grafik 98" descr="Hilfe">
          <a:extLst>
            <a:ext uri="{FF2B5EF4-FFF2-40B4-BE49-F238E27FC236}">
              <a16:creationId xmlns:a16="http://schemas.microsoft.com/office/drawing/2014/main" id="{99D1314A-D433-4173-AFE3-790DC50C7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00" name="Grafik 99" descr="Hilfe">
          <a:extLst>
            <a:ext uri="{FF2B5EF4-FFF2-40B4-BE49-F238E27FC236}">
              <a16:creationId xmlns:a16="http://schemas.microsoft.com/office/drawing/2014/main" id="{9006DFF7-9B54-456B-A044-BD929DAD9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01" name="Grafik 100" descr="Hilfe">
          <a:extLst>
            <a:ext uri="{FF2B5EF4-FFF2-40B4-BE49-F238E27FC236}">
              <a16:creationId xmlns:a16="http://schemas.microsoft.com/office/drawing/2014/main" id="{115BF05C-6028-4A70-8399-7537EDB40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02" name="Grafik 101" descr="Hilfe">
          <a:extLst>
            <a:ext uri="{FF2B5EF4-FFF2-40B4-BE49-F238E27FC236}">
              <a16:creationId xmlns:a16="http://schemas.microsoft.com/office/drawing/2014/main" id="{1172969C-DB88-45D6-8F4A-E2719E95D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03" name="Grafik 102" descr="Hilfe">
          <a:extLst>
            <a:ext uri="{FF2B5EF4-FFF2-40B4-BE49-F238E27FC236}">
              <a16:creationId xmlns:a16="http://schemas.microsoft.com/office/drawing/2014/main" id="{7AD852FF-CB35-49CD-AC3D-A658AE2D9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04" name="Grafik 103" descr="Hilfe">
          <a:extLst>
            <a:ext uri="{FF2B5EF4-FFF2-40B4-BE49-F238E27FC236}">
              <a16:creationId xmlns:a16="http://schemas.microsoft.com/office/drawing/2014/main" id="{AF592F42-C336-4EE9-8B39-D36B084AD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05" name="Grafik 104" descr="Hilfe">
          <a:extLst>
            <a:ext uri="{FF2B5EF4-FFF2-40B4-BE49-F238E27FC236}">
              <a16:creationId xmlns:a16="http://schemas.microsoft.com/office/drawing/2014/main" id="{94913FC0-D96F-410E-B37F-1BBF10DDC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06" name="Grafik 105" descr="Hilfe">
          <a:extLst>
            <a:ext uri="{FF2B5EF4-FFF2-40B4-BE49-F238E27FC236}">
              <a16:creationId xmlns:a16="http://schemas.microsoft.com/office/drawing/2014/main" id="{61580485-13B7-42C5-85DF-A1358105C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07" name="Grafik 106" descr="Hilfe">
          <a:extLst>
            <a:ext uri="{FF2B5EF4-FFF2-40B4-BE49-F238E27FC236}">
              <a16:creationId xmlns:a16="http://schemas.microsoft.com/office/drawing/2014/main" id="{C9BBA42F-8F4F-4A5D-A714-E4EE0ED2A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08" name="Grafik 107" descr="Hilfe">
          <a:extLst>
            <a:ext uri="{FF2B5EF4-FFF2-40B4-BE49-F238E27FC236}">
              <a16:creationId xmlns:a16="http://schemas.microsoft.com/office/drawing/2014/main" id="{9CD49226-2688-4BA9-98E6-3094695E1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09" name="Grafik 108" descr="Hilfe">
          <a:extLst>
            <a:ext uri="{FF2B5EF4-FFF2-40B4-BE49-F238E27FC236}">
              <a16:creationId xmlns:a16="http://schemas.microsoft.com/office/drawing/2014/main" id="{9CF56323-8164-4426-A9A8-A436832C7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10" name="Grafik 109" descr="Hilfe">
          <a:extLst>
            <a:ext uri="{FF2B5EF4-FFF2-40B4-BE49-F238E27FC236}">
              <a16:creationId xmlns:a16="http://schemas.microsoft.com/office/drawing/2014/main" id="{502ACA95-4851-41A7-9BD3-67BBEA7DA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11" name="Grafik 110" descr="Hilfe">
          <a:extLst>
            <a:ext uri="{FF2B5EF4-FFF2-40B4-BE49-F238E27FC236}">
              <a16:creationId xmlns:a16="http://schemas.microsoft.com/office/drawing/2014/main" id="{10000684-3300-47FF-AA2F-65D8B7A3C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12" name="Grafik 111" descr="Hilfe">
          <a:extLst>
            <a:ext uri="{FF2B5EF4-FFF2-40B4-BE49-F238E27FC236}">
              <a16:creationId xmlns:a16="http://schemas.microsoft.com/office/drawing/2014/main" id="{335E820C-5351-4DBE-8E81-944C8845A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13" name="Grafik 112" descr="Hilfe">
          <a:extLst>
            <a:ext uri="{FF2B5EF4-FFF2-40B4-BE49-F238E27FC236}">
              <a16:creationId xmlns:a16="http://schemas.microsoft.com/office/drawing/2014/main" id="{BBD6D224-374D-4CF4-9087-2D9DD6A37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14" name="Grafik 113" descr="Hilfe">
          <a:extLst>
            <a:ext uri="{FF2B5EF4-FFF2-40B4-BE49-F238E27FC236}">
              <a16:creationId xmlns:a16="http://schemas.microsoft.com/office/drawing/2014/main" id="{E029BD85-57B9-4548-A8A3-6FF37DE31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15" name="Grafik 114" descr="Hilfe">
          <a:extLst>
            <a:ext uri="{FF2B5EF4-FFF2-40B4-BE49-F238E27FC236}">
              <a16:creationId xmlns:a16="http://schemas.microsoft.com/office/drawing/2014/main" id="{B4474447-2D52-4C0F-9F53-658E0D027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16" name="Grafik 115" descr="Hilfe">
          <a:extLst>
            <a:ext uri="{FF2B5EF4-FFF2-40B4-BE49-F238E27FC236}">
              <a16:creationId xmlns:a16="http://schemas.microsoft.com/office/drawing/2014/main" id="{1CEDE19A-C636-4A91-A54E-F4FB67C58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17" name="Grafik 116" descr="Hilfe">
          <a:extLst>
            <a:ext uri="{FF2B5EF4-FFF2-40B4-BE49-F238E27FC236}">
              <a16:creationId xmlns:a16="http://schemas.microsoft.com/office/drawing/2014/main" id="{D4C7F7A9-2EDD-4100-A50A-59A6C4BF1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18" name="Grafik 117" descr="Hilfe">
          <a:extLst>
            <a:ext uri="{FF2B5EF4-FFF2-40B4-BE49-F238E27FC236}">
              <a16:creationId xmlns:a16="http://schemas.microsoft.com/office/drawing/2014/main" id="{A745EF1C-CE7F-4F36-8FB0-304171F69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19" name="Grafik 118" descr="Hilfe">
          <a:extLst>
            <a:ext uri="{FF2B5EF4-FFF2-40B4-BE49-F238E27FC236}">
              <a16:creationId xmlns:a16="http://schemas.microsoft.com/office/drawing/2014/main" id="{E721D6DA-8845-46D0-8C5A-F9CC0D240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20" name="Grafik 119" descr="Hilfe">
          <a:extLst>
            <a:ext uri="{FF2B5EF4-FFF2-40B4-BE49-F238E27FC236}">
              <a16:creationId xmlns:a16="http://schemas.microsoft.com/office/drawing/2014/main" id="{DDB24E8E-0A3A-4363-A3B3-B9671E7FA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21" name="Grafik 120" descr="Hilfe">
          <a:extLst>
            <a:ext uri="{FF2B5EF4-FFF2-40B4-BE49-F238E27FC236}">
              <a16:creationId xmlns:a16="http://schemas.microsoft.com/office/drawing/2014/main" id="{FC38DF13-3CB4-4E4B-8190-F119C4A4A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22" name="Grafik 121" descr="Hilfe">
          <a:extLst>
            <a:ext uri="{FF2B5EF4-FFF2-40B4-BE49-F238E27FC236}">
              <a16:creationId xmlns:a16="http://schemas.microsoft.com/office/drawing/2014/main" id="{ED75C010-A32D-4EDB-A93F-2DCDA4968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23" name="Grafik 122" descr="Hilfe">
          <a:extLst>
            <a:ext uri="{FF2B5EF4-FFF2-40B4-BE49-F238E27FC236}">
              <a16:creationId xmlns:a16="http://schemas.microsoft.com/office/drawing/2014/main" id="{59A0F5CE-3C9C-4953-859D-2A1657AC9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24" name="Grafik 123" descr="Hilfe">
          <a:extLst>
            <a:ext uri="{FF2B5EF4-FFF2-40B4-BE49-F238E27FC236}">
              <a16:creationId xmlns:a16="http://schemas.microsoft.com/office/drawing/2014/main" id="{DEBC6624-EB19-4591-80D8-70D0DAE5D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25" name="Grafik 124" descr="Hilfe">
          <a:extLst>
            <a:ext uri="{FF2B5EF4-FFF2-40B4-BE49-F238E27FC236}">
              <a16:creationId xmlns:a16="http://schemas.microsoft.com/office/drawing/2014/main" id="{505FD63E-0D8D-49A5-B733-6E05BAEDA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26" name="Grafik 125" descr="Hilfe">
          <a:extLst>
            <a:ext uri="{FF2B5EF4-FFF2-40B4-BE49-F238E27FC236}">
              <a16:creationId xmlns:a16="http://schemas.microsoft.com/office/drawing/2014/main" id="{4DB0EC35-031E-477E-A1B8-79D43D71F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27" name="Grafik 126" descr="Hilfe">
          <a:extLst>
            <a:ext uri="{FF2B5EF4-FFF2-40B4-BE49-F238E27FC236}">
              <a16:creationId xmlns:a16="http://schemas.microsoft.com/office/drawing/2014/main" id="{7456E686-F74A-4C0E-A767-E912231BA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28" name="Grafik 127" descr="Hilfe">
          <a:extLst>
            <a:ext uri="{FF2B5EF4-FFF2-40B4-BE49-F238E27FC236}">
              <a16:creationId xmlns:a16="http://schemas.microsoft.com/office/drawing/2014/main" id="{48FAF7AB-57F3-4756-9388-61F489FA5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29" name="Grafik 128" descr="Hilfe">
          <a:extLst>
            <a:ext uri="{FF2B5EF4-FFF2-40B4-BE49-F238E27FC236}">
              <a16:creationId xmlns:a16="http://schemas.microsoft.com/office/drawing/2014/main" id="{112DDA12-F1A5-4207-BB23-4AF3F0630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30" name="Grafik 129" descr="Hilfe">
          <a:extLst>
            <a:ext uri="{FF2B5EF4-FFF2-40B4-BE49-F238E27FC236}">
              <a16:creationId xmlns:a16="http://schemas.microsoft.com/office/drawing/2014/main" id="{2BF0762F-ECE8-448F-82FA-D1A91A489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31" name="Grafik 130" descr="Hilfe">
          <a:extLst>
            <a:ext uri="{FF2B5EF4-FFF2-40B4-BE49-F238E27FC236}">
              <a16:creationId xmlns:a16="http://schemas.microsoft.com/office/drawing/2014/main" id="{55B60B65-B4CF-435B-B573-E6ED60FC6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32" name="Grafik 131" descr="Hilfe">
          <a:extLst>
            <a:ext uri="{FF2B5EF4-FFF2-40B4-BE49-F238E27FC236}">
              <a16:creationId xmlns:a16="http://schemas.microsoft.com/office/drawing/2014/main" id="{88DFE5C6-65CA-4E40-97FB-DAE7152CD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33" name="Grafik 132" descr="Hilfe">
          <a:extLst>
            <a:ext uri="{FF2B5EF4-FFF2-40B4-BE49-F238E27FC236}">
              <a16:creationId xmlns:a16="http://schemas.microsoft.com/office/drawing/2014/main" id="{C99961F4-421D-4778-886F-4DF112950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34" name="Grafik 133" descr="Hilfe">
          <a:extLst>
            <a:ext uri="{FF2B5EF4-FFF2-40B4-BE49-F238E27FC236}">
              <a16:creationId xmlns:a16="http://schemas.microsoft.com/office/drawing/2014/main" id="{1BAE5FD6-781F-49F4-B044-57506DDD5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35" name="Grafik 134" descr="Hilfe">
          <a:extLst>
            <a:ext uri="{FF2B5EF4-FFF2-40B4-BE49-F238E27FC236}">
              <a16:creationId xmlns:a16="http://schemas.microsoft.com/office/drawing/2014/main" id="{41438986-F29B-4162-824E-5220A832C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36" name="Grafik 135" descr="Hilfe">
          <a:extLst>
            <a:ext uri="{FF2B5EF4-FFF2-40B4-BE49-F238E27FC236}">
              <a16:creationId xmlns:a16="http://schemas.microsoft.com/office/drawing/2014/main" id="{9AEFBA52-DC6B-4CB9-A430-83ADF4E1D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37" name="Grafik 136" descr="Hilfe">
          <a:extLst>
            <a:ext uri="{FF2B5EF4-FFF2-40B4-BE49-F238E27FC236}">
              <a16:creationId xmlns:a16="http://schemas.microsoft.com/office/drawing/2014/main" id="{9A352DEF-543A-48CD-8867-DEBE85D32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38" name="Grafik 137" descr="Hilfe">
          <a:extLst>
            <a:ext uri="{FF2B5EF4-FFF2-40B4-BE49-F238E27FC236}">
              <a16:creationId xmlns:a16="http://schemas.microsoft.com/office/drawing/2014/main" id="{37CCBF43-2984-4E0E-8969-9C88A2F44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39" name="Grafik 138" descr="Hilfe">
          <a:extLst>
            <a:ext uri="{FF2B5EF4-FFF2-40B4-BE49-F238E27FC236}">
              <a16:creationId xmlns:a16="http://schemas.microsoft.com/office/drawing/2014/main" id="{6C60FE75-1D9A-4E78-BFCD-11C6A9308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40" name="Grafik 139" descr="Hilfe">
          <a:extLst>
            <a:ext uri="{FF2B5EF4-FFF2-40B4-BE49-F238E27FC236}">
              <a16:creationId xmlns:a16="http://schemas.microsoft.com/office/drawing/2014/main" id="{C62E2A71-6881-44A9-8305-712114950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41" name="Grafik 140" descr="Hilfe">
          <a:extLst>
            <a:ext uri="{FF2B5EF4-FFF2-40B4-BE49-F238E27FC236}">
              <a16:creationId xmlns:a16="http://schemas.microsoft.com/office/drawing/2014/main" id="{4371FA7D-37D2-4A9D-A8AF-9D42959A1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42" name="Grafik 141" descr="Hilfe">
          <a:extLst>
            <a:ext uri="{FF2B5EF4-FFF2-40B4-BE49-F238E27FC236}">
              <a16:creationId xmlns:a16="http://schemas.microsoft.com/office/drawing/2014/main" id="{11E731AE-AE2F-458D-A3DF-7077CB48B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43" name="Grafik 142" descr="Hilfe">
          <a:extLst>
            <a:ext uri="{FF2B5EF4-FFF2-40B4-BE49-F238E27FC236}">
              <a16:creationId xmlns:a16="http://schemas.microsoft.com/office/drawing/2014/main" id="{F1DF3242-731F-4AD6-A5EB-FE7D9BB5E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44" name="Grafik 143" descr="Hilfe">
          <a:extLst>
            <a:ext uri="{FF2B5EF4-FFF2-40B4-BE49-F238E27FC236}">
              <a16:creationId xmlns:a16="http://schemas.microsoft.com/office/drawing/2014/main" id="{434BE4C0-B182-4611-B13C-0393B7BA0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45" name="Grafik 144" descr="Hilfe">
          <a:extLst>
            <a:ext uri="{FF2B5EF4-FFF2-40B4-BE49-F238E27FC236}">
              <a16:creationId xmlns:a16="http://schemas.microsoft.com/office/drawing/2014/main" id="{DE779349-DF00-4BE0-B7B8-468097C1A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46" name="Grafik 145" descr="Hilfe">
          <a:extLst>
            <a:ext uri="{FF2B5EF4-FFF2-40B4-BE49-F238E27FC236}">
              <a16:creationId xmlns:a16="http://schemas.microsoft.com/office/drawing/2014/main" id="{77DD6DD5-39E1-486C-8098-5A685803D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47" name="Grafik 146" descr="Hilfe">
          <a:extLst>
            <a:ext uri="{FF2B5EF4-FFF2-40B4-BE49-F238E27FC236}">
              <a16:creationId xmlns:a16="http://schemas.microsoft.com/office/drawing/2014/main" id="{5C4F69DC-F3C3-4C08-B2CB-DBD46020A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48" name="Grafik 147" descr="Hilfe">
          <a:extLst>
            <a:ext uri="{FF2B5EF4-FFF2-40B4-BE49-F238E27FC236}">
              <a16:creationId xmlns:a16="http://schemas.microsoft.com/office/drawing/2014/main" id="{A4B479CE-0EF3-4748-8667-112C77A45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49" name="Grafik 148" descr="Hilfe">
          <a:extLst>
            <a:ext uri="{FF2B5EF4-FFF2-40B4-BE49-F238E27FC236}">
              <a16:creationId xmlns:a16="http://schemas.microsoft.com/office/drawing/2014/main" id="{3FAD1698-4C72-41F5-8C08-D12E15E66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50" name="Grafik 149" descr="Hilfe">
          <a:extLst>
            <a:ext uri="{FF2B5EF4-FFF2-40B4-BE49-F238E27FC236}">
              <a16:creationId xmlns:a16="http://schemas.microsoft.com/office/drawing/2014/main" id="{B2658460-E815-4125-98A8-4D0C4CCCE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51" name="Grafik 150" descr="Hilfe">
          <a:extLst>
            <a:ext uri="{FF2B5EF4-FFF2-40B4-BE49-F238E27FC236}">
              <a16:creationId xmlns:a16="http://schemas.microsoft.com/office/drawing/2014/main" id="{FA911539-F201-44AF-A0FC-784D9F2A8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52" name="Grafik 151" descr="Hilfe">
          <a:extLst>
            <a:ext uri="{FF2B5EF4-FFF2-40B4-BE49-F238E27FC236}">
              <a16:creationId xmlns:a16="http://schemas.microsoft.com/office/drawing/2014/main" id="{D22012CC-2455-49CE-921A-480BCDFCC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53" name="Grafik 152" descr="Hilfe">
          <a:extLst>
            <a:ext uri="{FF2B5EF4-FFF2-40B4-BE49-F238E27FC236}">
              <a16:creationId xmlns:a16="http://schemas.microsoft.com/office/drawing/2014/main" id="{3BF5087E-D580-4114-84DD-C593366D7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54" name="Grafik 153" descr="Hilfe">
          <a:extLst>
            <a:ext uri="{FF2B5EF4-FFF2-40B4-BE49-F238E27FC236}">
              <a16:creationId xmlns:a16="http://schemas.microsoft.com/office/drawing/2014/main" id="{7FB06FFD-2AC7-499B-9C15-599724DF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55" name="Grafik 154" descr="Hilfe">
          <a:extLst>
            <a:ext uri="{FF2B5EF4-FFF2-40B4-BE49-F238E27FC236}">
              <a16:creationId xmlns:a16="http://schemas.microsoft.com/office/drawing/2014/main" id="{E3B01FFD-8DD0-4CF0-8BB2-419EAEC02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56" name="Grafik 155" descr="Hilfe">
          <a:extLst>
            <a:ext uri="{FF2B5EF4-FFF2-40B4-BE49-F238E27FC236}">
              <a16:creationId xmlns:a16="http://schemas.microsoft.com/office/drawing/2014/main" id="{DC337561-B1D4-467D-8570-07E1E0DAD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57" name="Grafik 156" descr="Hilfe">
          <a:extLst>
            <a:ext uri="{FF2B5EF4-FFF2-40B4-BE49-F238E27FC236}">
              <a16:creationId xmlns:a16="http://schemas.microsoft.com/office/drawing/2014/main" id="{A77A9535-DF5D-4AE6-B103-EEB5A73B5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58" name="Grafik 157" descr="Hilfe">
          <a:extLst>
            <a:ext uri="{FF2B5EF4-FFF2-40B4-BE49-F238E27FC236}">
              <a16:creationId xmlns:a16="http://schemas.microsoft.com/office/drawing/2014/main" id="{09DCA8D2-04F7-4A48-8DFF-F7BC7C0D7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59" name="Grafik 158" descr="Hilfe">
          <a:extLst>
            <a:ext uri="{FF2B5EF4-FFF2-40B4-BE49-F238E27FC236}">
              <a16:creationId xmlns:a16="http://schemas.microsoft.com/office/drawing/2014/main" id="{5CCF563F-C98B-44DF-97A3-72D4C6A1D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60" name="Grafik 159" descr="Hilfe">
          <a:extLst>
            <a:ext uri="{FF2B5EF4-FFF2-40B4-BE49-F238E27FC236}">
              <a16:creationId xmlns:a16="http://schemas.microsoft.com/office/drawing/2014/main" id="{318437B8-DC5E-44CF-BAC5-DD86F1CC1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61" name="Grafik 160" descr="Hilfe">
          <a:extLst>
            <a:ext uri="{FF2B5EF4-FFF2-40B4-BE49-F238E27FC236}">
              <a16:creationId xmlns:a16="http://schemas.microsoft.com/office/drawing/2014/main" id="{087F53D6-3374-4F89-9D12-E2FA34E55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62" name="Grafik 161" descr="Hilfe">
          <a:extLst>
            <a:ext uri="{FF2B5EF4-FFF2-40B4-BE49-F238E27FC236}">
              <a16:creationId xmlns:a16="http://schemas.microsoft.com/office/drawing/2014/main" id="{26AC3092-1CB7-4AC9-BE66-3B04B9AFB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63" name="Grafik 162" descr="Hilfe">
          <a:extLst>
            <a:ext uri="{FF2B5EF4-FFF2-40B4-BE49-F238E27FC236}">
              <a16:creationId xmlns:a16="http://schemas.microsoft.com/office/drawing/2014/main" id="{601A8414-DAC5-43F5-B559-D964CEC5D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64" name="Grafik 163" descr="Hilfe">
          <a:extLst>
            <a:ext uri="{FF2B5EF4-FFF2-40B4-BE49-F238E27FC236}">
              <a16:creationId xmlns:a16="http://schemas.microsoft.com/office/drawing/2014/main" id="{9F4A9356-A08B-4F37-A512-55635D463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65" name="Grafik 164" descr="Hilfe">
          <a:extLst>
            <a:ext uri="{FF2B5EF4-FFF2-40B4-BE49-F238E27FC236}">
              <a16:creationId xmlns:a16="http://schemas.microsoft.com/office/drawing/2014/main" id="{A72C7A18-21FC-4E30-AE76-CFBFF2BB6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66" name="Grafik 165" descr="Hilfe">
          <a:extLst>
            <a:ext uri="{FF2B5EF4-FFF2-40B4-BE49-F238E27FC236}">
              <a16:creationId xmlns:a16="http://schemas.microsoft.com/office/drawing/2014/main" id="{F22529D8-8633-48F8-A8A9-93BBDF0E2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67" name="Grafik 166" descr="Hilfe">
          <a:extLst>
            <a:ext uri="{FF2B5EF4-FFF2-40B4-BE49-F238E27FC236}">
              <a16:creationId xmlns:a16="http://schemas.microsoft.com/office/drawing/2014/main" id="{C1392F23-97A7-49CF-B4FA-8409C69D2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68" name="Grafik 167" descr="Hilfe">
          <a:extLst>
            <a:ext uri="{FF2B5EF4-FFF2-40B4-BE49-F238E27FC236}">
              <a16:creationId xmlns:a16="http://schemas.microsoft.com/office/drawing/2014/main" id="{4745A111-14C3-4E65-9D0B-E6E74C224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69" name="Grafik 168" descr="Hilfe">
          <a:extLst>
            <a:ext uri="{FF2B5EF4-FFF2-40B4-BE49-F238E27FC236}">
              <a16:creationId xmlns:a16="http://schemas.microsoft.com/office/drawing/2014/main" id="{271C9874-6D53-421A-A980-9F5BE21F7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70" name="Grafik 169" descr="Hilfe">
          <a:extLst>
            <a:ext uri="{FF2B5EF4-FFF2-40B4-BE49-F238E27FC236}">
              <a16:creationId xmlns:a16="http://schemas.microsoft.com/office/drawing/2014/main" id="{299BD0D7-14EB-4B98-A46D-651005DC1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71" name="Grafik 170" descr="Hilfe">
          <a:extLst>
            <a:ext uri="{FF2B5EF4-FFF2-40B4-BE49-F238E27FC236}">
              <a16:creationId xmlns:a16="http://schemas.microsoft.com/office/drawing/2014/main" id="{862C01BD-1E87-4F13-A5A0-5360C34D8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72" name="Grafik 171" descr="Hilfe">
          <a:extLst>
            <a:ext uri="{FF2B5EF4-FFF2-40B4-BE49-F238E27FC236}">
              <a16:creationId xmlns:a16="http://schemas.microsoft.com/office/drawing/2014/main" id="{03E31D7F-DBCC-47C3-AF17-15D2879D5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73" name="Grafik 172" descr="Hilfe">
          <a:extLst>
            <a:ext uri="{FF2B5EF4-FFF2-40B4-BE49-F238E27FC236}">
              <a16:creationId xmlns:a16="http://schemas.microsoft.com/office/drawing/2014/main" id="{A6703F06-44BA-47D7-A695-C0B358D2E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74" name="Grafik 173" descr="Hilfe">
          <a:extLst>
            <a:ext uri="{FF2B5EF4-FFF2-40B4-BE49-F238E27FC236}">
              <a16:creationId xmlns:a16="http://schemas.microsoft.com/office/drawing/2014/main" id="{2BFBB456-B71D-4FAB-883B-FBF59B4CB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75" name="Grafik 174" descr="Hilfe">
          <a:extLst>
            <a:ext uri="{FF2B5EF4-FFF2-40B4-BE49-F238E27FC236}">
              <a16:creationId xmlns:a16="http://schemas.microsoft.com/office/drawing/2014/main" id="{61CCF3A0-D57B-465D-B234-37188ED27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76" name="Grafik 175" descr="Hilfe">
          <a:extLst>
            <a:ext uri="{FF2B5EF4-FFF2-40B4-BE49-F238E27FC236}">
              <a16:creationId xmlns:a16="http://schemas.microsoft.com/office/drawing/2014/main" id="{F21C5CB6-E4F6-46F6-B357-CF3546359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77" name="Grafik 176" descr="Hilfe">
          <a:extLst>
            <a:ext uri="{FF2B5EF4-FFF2-40B4-BE49-F238E27FC236}">
              <a16:creationId xmlns:a16="http://schemas.microsoft.com/office/drawing/2014/main" id="{AF448E4D-76D8-4255-8978-774B08F0C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78" name="Grafik 177" descr="Hilfe">
          <a:extLst>
            <a:ext uri="{FF2B5EF4-FFF2-40B4-BE49-F238E27FC236}">
              <a16:creationId xmlns:a16="http://schemas.microsoft.com/office/drawing/2014/main" id="{BAB19FDC-C950-46A6-A908-859E7F1CD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79" name="Grafik 178" descr="Hilfe">
          <a:extLst>
            <a:ext uri="{FF2B5EF4-FFF2-40B4-BE49-F238E27FC236}">
              <a16:creationId xmlns:a16="http://schemas.microsoft.com/office/drawing/2014/main" id="{1EFC52FA-A4F8-4BDA-95D4-DC3D2C13B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80" name="Grafik 179" descr="Hilfe">
          <a:extLst>
            <a:ext uri="{FF2B5EF4-FFF2-40B4-BE49-F238E27FC236}">
              <a16:creationId xmlns:a16="http://schemas.microsoft.com/office/drawing/2014/main" id="{E56D8BF2-F31E-4F3D-A347-5662F107F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81" name="Grafik 180" descr="Hilfe">
          <a:extLst>
            <a:ext uri="{FF2B5EF4-FFF2-40B4-BE49-F238E27FC236}">
              <a16:creationId xmlns:a16="http://schemas.microsoft.com/office/drawing/2014/main" id="{D475C9E1-E8E5-4C7E-98DA-EBAE25B85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82" name="Grafik 181" descr="Hilfe">
          <a:extLst>
            <a:ext uri="{FF2B5EF4-FFF2-40B4-BE49-F238E27FC236}">
              <a16:creationId xmlns:a16="http://schemas.microsoft.com/office/drawing/2014/main" id="{EDBC9C5B-5FBC-4EE9-9B57-8517DA44D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83" name="Grafik 182" descr="Hilfe">
          <a:extLst>
            <a:ext uri="{FF2B5EF4-FFF2-40B4-BE49-F238E27FC236}">
              <a16:creationId xmlns:a16="http://schemas.microsoft.com/office/drawing/2014/main" id="{92B8DCE3-6F22-4ACA-8743-FFB945CB2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84" name="Grafik 183" descr="Hilfe">
          <a:extLst>
            <a:ext uri="{FF2B5EF4-FFF2-40B4-BE49-F238E27FC236}">
              <a16:creationId xmlns:a16="http://schemas.microsoft.com/office/drawing/2014/main" id="{EF07CEE7-E213-4BD9-9ECF-372531931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85" name="Grafik 184" descr="Hilfe">
          <a:extLst>
            <a:ext uri="{FF2B5EF4-FFF2-40B4-BE49-F238E27FC236}">
              <a16:creationId xmlns:a16="http://schemas.microsoft.com/office/drawing/2014/main" id="{DB481EC8-EB7F-49D4-AA37-97E5C3662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86" name="Grafik 185" descr="Hilfe">
          <a:extLst>
            <a:ext uri="{FF2B5EF4-FFF2-40B4-BE49-F238E27FC236}">
              <a16:creationId xmlns:a16="http://schemas.microsoft.com/office/drawing/2014/main" id="{D04547D6-8EFC-4892-A1CC-00733436B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87" name="Grafik 186" descr="Hilfe">
          <a:extLst>
            <a:ext uri="{FF2B5EF4-FFF2-40B4-BE49-F238E27FC236}">
              <a16:creationId xmlns:a16="http://schemas.microsoft.com/office/drawing/2014/main" id="{E163685B-6584-438B-BDE7-D1C692C43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88" name="Grafik 187" descr="Hilfe">
          <a:extLst>
            <a:ext uri="{FF2B5EF4-FFF2-40B4-BE49-F238E27FC236}">
              <a16:creationId xmlns:a16="http://schemas.microsoft.com/office/drawing/2014/main" id="{10B90CE0-B4F5-4C76-BE5F-64B969290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89" name="Grafik 188" descr="Hilfe">
          <a:extLst>
            <a:ext uri="{FF2B5EF4-FFF2-40B4-BE49-F238E27FC236}">
              <a16:creationId xmlns:a16="http://schemas.microsoft.com/office/drawing/2014/main" id="{6C0F6CC5-6237-4D8B-B87B-85E598E03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90" name="Grafik 189" descr="Hilfe">
          <a:extLst>
            <a:ext uri="{FF2B5EF4-FFF2-40B4-BE49-F238E27FC236}">
              <a16:creationId xmlns:a16="http://schemas.microsoft.com/office/drawing/2014/main" id="{541B0E9A-9806-461D-A0D0-BCAA51242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91" name="Grafik 190" descr="Hilfe">
          <a:extLst>
            <a:ext uri="{FF2B5EF4-FFF2-40B4-BE49-F238E27FC236}">
              <a16:creationId xmlns:a16="http://schemas.microsoft.com/office/drawing/2014/main" id="{D6CF22DA-4B01-48E9-B759-1917F6664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92" name="Grafik 191" descr="Hilfe">
          <a:extLst>
            <a:ext uri="{FF2B5EF4-FFF2-40B4-BE49-F238E27FC236}">
              <a16:creationId xmlns:a16="http://schemas.microsoft.com/office/drawing/2014/main" id="{80F038D9-2457-42A9-AB40-C836D4DC4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93" name="Grafik 192" descr="Hilfe">
          <a:extLst>
            <a:ext uri="{FF2B5EF4-FFF2-40B4-BE49-F238E27FC236}">
              <a16:creationId xmlns:a16="http://schemas.microsoft.com/office/drawing/2014/main" id="{423C16A5-98E8-424A-A05D-392CFDCCD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94" name="Grafik 193" descr="Hilfe">
          <a:extLst>
            <a:ext uri="{FF2B5EF4-FFF2-40B4-BE49-F238E27FC236}">
              <a16:creationId xmlns:a16="http://schemas.microsoft.com/office/drawing/2014/main" id="{80DAFAFD-0365-44EB-B755-68490798A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95" name="Grafik 194" descr="Hilfe">
          <a:extLst>
            <a:ext uri="{FF2B5EF4-FFF2-40B4-BE49-F238E27FC236}">
              <a16:creationId xmlns:a16="http://schemas.microsoft.com/office/drawing/2014/main" id="{25696330-73B3-40FF-9A00-47FA3C4BA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96" name="Grafik 195" descr="Hilfe">
          <a:extLst>
            <a:ext uri="{FF2B5EF4-FFF2-40B4-BE49-F238E27FC236}">
              <a16:creationId xmlns:a16="http://schemas.microsoft.com/office/drawing/2014/main" id="{4F208300-FF3B-412F-9809-B883EC6FA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97" name="Grafik 196" descr="Hilfe">
          <a:extLst>
            <a:ext uri="{FF2B5EF4-FFF2-40B4-BE49-F238E27FC236}">
              <a16:creationId xmlns:a16="http://schemas.microsoft.com/office/drawing/2014/main" id="{991B23C0-2735-4551-8488-6FBD27305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98" name="Grafik 197" descr="Hilfe">
          <a:extLst>
            <a:ext uri="{FF2B5EF4-FFF2-40B4-BE49-F238E27FC236}">
              <a16:creationId xmlns:a16="http://schemas.microsoft.com/office/drawing/2014/main" id="{3A357868-CAD8-42F6-AC97-4A6EA56DC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199" name="Grafik 198" descr="Hilfe">
          <a:extLst>
            <a:ext uri="{FF2B5EF4-FFF2-40B4-BE49-F238E27FC236}">
              <a16:creationId xmlns:a16="http://schemas.microsoft.com/office/drawing/2014/main" id="{BDFB5C79-DF20-473D-B7F9-CEE2BC230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00" name="Grafik 199" descr="Hilfe">
          <a:extLst>
            <a:ext uri="{FF2B5EF4-FFF2-40B4-BE49-F238E27FC236}">
              <a16:creationId xmlns:a16="http://schemas.microsoft.com/office/drawing/2014/main" id="{134D9FBE-A9A6-4900-BFD6-42F8CC7DB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01" name="Grafik 200" descr="Hilfe">
          <a:extLst>
            <a:ext uri="{FF2B5EF4-FFF2-40B4-BE49-F238E27FC236}">
              <a16:creationId xmlns:a16="http://schemas.microsoft.com/office/drawing/2014/main" id="{4E5E7BD6-6D05-47C1-BAA0-EB5F052A0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02" name="Grafik 201" descr="Hilfe">
          <a:extLst>
            <a:ext uri="{FF2B5EF4-FFF2-40B4-BE49-F238E27FC236}">
              <a16:creationId xmlns:a16="http://schemas.microsoft.com/office/drawing/2014/main" id="{38C73D19-6812-4CDD-B984-AA9D09C04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03" name="Grafik 202" descr="Hilfe">
          <a:extLst>
            <a:ext uri="{FF2B5EF4-FFF2-40B4-BE49-F238E27FC236}">
              <a16:creationId xmlns:a16="http://schemas.microsoft.com/office/drawing/2014/main" id="{16613A66-DAFC-4E90-ABA0-04DFF5D12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04" name="Grafik 203" descr="Hilfe">
          <a:extLst>
            <a:ext uri="{FF2B5EF4-FFF2-40B4-BE49-F238E27FC236}">
              <a16:creationId xmlns:a16="http://schemas.microsoft.com/office/drawing/2014/main" id="{0E07EA11-8578-474D-8768-2D322DDA5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05" name="Grafik 204" descr="Hilfe">
          <a:extLst>
            <a:ext uri="{FF2B5EF4-FFF2-40B4-BE49-F238E27FC236}">
              <a16:creationId xmlns:a16="http://schemas.microsoft.com/office/drawing/2014/main" id="{43A1215D-B924-449C-9653-4CD76A15C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06" name="Grafik 205" descr="Hilfe">
          <a:extLst>
            <a:ext uri="{FF2B5EF4-FFF2-40B4-BE49-F238E27FC236}">
              <a16:creationId xmlns:a16="http://schemas.microsoft.com/office/drawing/2014/main" id="{BFA1DD47-FF93-4438-A4B6-00DE57CEF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07" name="Grafik 206" descr="Hilfe">
          <a:extLst>
            <a:ext uri="{FF2B5EF4-FFF2-40B4-BE49-F238E27FC236}">
              <a16:creationId xmlns:a16="http://schemas.microsoft.com/office/drawing/2014/main" id="{0A893292-06C6-40D7-9EE7-7A6852541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08" name="Grafik 207" descr="Hilfe">
          <a:extLst>
            <a:ext uri="{FF2B5EF4-FFF2-40B4-BE49-F238E27FC236}">
              <a16:creationId xmlns:a16="http://schemas.microsoft.com/office/drawing/2014/main" id="{8850BC05-90F4-4EFA-B558-4C363ECE8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09" name="Grafik 208" descr="Hilfe">
          <a:extLst>
            <a:ext uri="{FF2B5EF4-FFF2-40B4-BE49-F238E27FC236}">
              <a16:creationId xmlns:a16="http://schemas.microsoft.com/office/drawing/2014/main" id="{6DCC8816-D2C6-4267-B8B7-F777F2FC2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10" name="Grafik 209" descr="Hilfe">
          <a:extLst>
            <a:ext uri="{FF2B5EF4-FFF2-40B4-BE49-F238E27FC236}">
              <a16:creationId xmlns:a16="http://schemas.microsoft.com/office/drawing/2014/main" id="{C0351B88-A064-4F82-836B-78114D5CC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11" name="Grafik 210" descr="Hilfe">
          <a:extLst>
            <a:ext uri="{FF2B5EF4-FFF2-40B4-BE49-F238E27FC236}">
              <a16:creationId xmlns:a16="http://schemas.microsoft.com/office/drawing/2014/main" id="{248B4117-7441-43FA-8735-3C9B5033D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12" name="Grafik 211" descr="Hilfe">
          <a:extLst>
            <a:ext uri="{FF2B5EF4-FFF2-40B4-BE49-F238E27FC236}">
              <a16:creationId xmlns:a16="http://schemas.microsoft.com/office/drawing/2014/main" id="{35E3774E-55FD-4DEE-9F29-6AC18C02B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13" name="Grafik 212" descr="Hilfe">
          <a:extLst>
            <a:ext uri="{FF2B5EF4-FFF2-40B4-BE49-F238E27FC236}">
              <a16:creationId xmlns:a16="http://schemas.microsoft.com/office/drawing/2014/main" id="{B1D754C1-C21C-422D-9118-3ABDFED8F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14" name="Grafik 213" descr="Hilfe">
          <a:extLst>
            <a:ext uri="{FF2B5EF4-FFF2-40B4-BE49-F238E27FC236}">
              <a16:creationId xmlns:a16="http://schemas.microsoft.com/office/drawing/2014/main" id="{B55C0F2F-A446-43FB-AFCD-C7FB707F8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15" name="Grafik 214" descr="Hilfe">
          <a:extLst>
            <a:ext uri="{FF2B5EF4-FFF2-40B4-BE49-F238E27FC236}">
              <a16:creationId xmlns:a16="http://schemas.microsoft.com/office/drawing/2014/main" id="{10AF2F6F-D573-4E91-88BE-33501DC9C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16" name="Grafik 215" descr="Hilfe">
          <a:extLst>
            <a:ext uri="{FF2B5EF4-FFF2-40B4-BE49-F238E27FC236}">
              <a16:creationId xmlns:a16="http://schemas.microsoft.com/office/drawing/2014/main" id="{6C0526E4-50FF-44C7-838C-EBCF07E5D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17" name="Grafik 216" descr="Hilfe">
          <a:extLst>
            <a:ext uri="{FF2B5EF4-FFF2-40B4-BE49-F238E27FC236}">
              <a16:creationId xmlns:a16="http://schemas.microsoft.com/office/drawing/2014/main" id="{7C52F8BC-8A88-45B6-8287-E81A29EED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18" name="Grafik 217" descr="Hilfe">
          <a:extLst>
            <a:ext uri="{FF2B5EF4-FFF2-40B4-BE49-F238E27FC236}">
              <a16:creationId xmlns:a16="http://schemas.microsoft.com/office/drawing/2014/main" id="{C00402F0-2F54-4275-B66C-38FA9377D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19" name="Grafik 218" descr="Hilfe">
          <a:extLst>
            <a:ext uri="{FF2B5EF4-FFF2-40B4-BE49-F238E27FC236}">
              <a16:creationId xmlns:a16="http://schemas.microsoft.com/office/drawing/2014/main" id="{B05F0E13-FADE-45E2-BAD0-B1348401E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20" name="Grafik 219" descr="Hilfe">
          <a:extLst>
            <a:ext uri="{FF2B5EF4-FFF2-40B4-BE49-F238E27FC236}">
              <a16:creationId xmlns:a16="http://schemas.microsoft.com/office/drawing/2014/main" id="{7FF25560-E09B-4EB5-85B8-9066F78B2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21" name="Grafik 220" descr="Hilfe">
          <a:extLst>
            <a:ext uri="{FF2B5EF4-FFF2-40B4-BE49-F238E27FC236}">
              <a16:creationId xmlns:a16="http://schemas.microsoft.com/office/drawing/2014/main" id="{F9FEE4CC-E08C-42EF-BF21-0673A599C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22" name="Grafik 221" descr="Hilfe">
          <a:extLst>
            <a:ext uri="{FF2B5EF4-FFF2-40B4-BE49-F238E27FC236}">
              <a16:creationId xmlns:a16="http://schemas.microsoft.com/office/drawing/2014/main" id="{203091BF-C31A-44D1-A80B-F7A2DA92C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23" name="Grafik 222" descr="Hilfe">
          <a:extLst>
            <a:ext uri="{FF2B5EF4-FFF2-40B4-BE49-F238E27FC236}">
              <a16:creationId xmlns:a16="http://schemas.microsoft.com/office/drawing/2014/main" id="{5E72AD87-E0ED-4498-A9D2-D95CFE1CE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24" name="Grafik 223" descr="Hilfe">
          <a:extLst>
            <a:ext uri="{FF2B5EF4-FFF2-40B4-BE49-F238E27FC236}">
              <a16:creationId xmlns:a16="http://schemas.microsoft.com/office/drawing/2014/main" id="{39803F6E-47D2-4F10-9347-DDEADC4E9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25" name="Grafik 224" descr="Hilfe">
          <a:extLst>
            <a:ext uri="{FF2B5EF4-FFF2-40B4-BE49-F238E27FC236}">
              <a16:creationId xmlns:a16="http://schemas.microsoft.com/office/drawing/2014/main" id="{29BA8AFD-2A07-44BB-8363-E856F7A4F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26" name="Grafik 225" descr="Hilfe">
          <a:extLst>
            <a:ext uri="{FF2B5EF4-FFF2-40B4-BE49-F238E27FC236}">
              <a16:creationId xmlns:a16="http://schemas.microsoft.com/office/drawing/2014/main" id="{8A6A10ED-54DF-4836-A91C-34AB526D6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27" name="Grafik 226" descr="Hilfe">
          <a:extLst>
            <a:ext uri="{FF2B5EF4-FFF2-40B4-BE49-F238E27FC236}">
              <a16:creationId xmlns:a16="http://schemas.microsoft.com/office/drawing/2014/main" id="{70F1AE47-1E2D-4BA0-8C8A-E07B7AC48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28" name="Grafik 227" descr="Hilfe">
          <a:extLst>
            <a:ext uri="{FF2B5EF4-FFF2-40B4-BE49-F238E27FC236}">
              <a16:creationId xmlns:a16="http://schemas.microsoft.com/office/drawing/2014/main" id="{6FE94864-5CEC-49FA-8158-41557E000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29" name="Grafik 228" descr="Hilfe">
          <a:extLst>
            <a:ext uri="{FF2B5EF4-FFF2-40B4-BE49-F238E27FC236}">
              <a16:creationId xmlns:a16="http://schemas.microsoft.com/office/drawing/2014/main" id="{ED62A17B-AD55-4D1E-96F6-6E2FF595C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30" name="Grafik 229" descr="Hilfe">
          <a:extLst>
            <a:ext uri="{FF2B5EF4-FFF2-40B4-BE49-F238E27FC236}">
              <a16:creationId xmlns:a16="http://schemas.microsoft.com/office/drawing/2014/main" id="{F4F4CAA3-7547-429C-8B2B-39F7513CD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31" name="Grafik 230" descr="Hilfe">
          <a:extLst>
            <a:ext uri="{FF2B5EF4-FFF2-40B4-BE49-F238E27FC236}">
              <a16:creationId xmlns:a16="http://schemas.microsoft.com/office/drawing/2014/main" id="{F6DC6C38-7A29-4AC7-83B7-4EE594A2B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32" name="Grafik 231" descr="Hilfe">
          <a:extLst>
            <a:ext uri="{FF2B5EF4-FFF2-40B4-BE49-F238E27FC236}">
              <a16:creationId xmlns:a16="http://schemas.microsoft.com/office/drawing/2014/main" id="{7DF81D82-C636-43A4-BEAC-3CFBBB216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33" name="Grafik 232" descr="Hilfe">
          <a:extLst>
            <a:ext uri="{FF2B5EF4-FFF2-40B4-BE49-F238E27FC236}">
              <a16:creationId xmlns:a16="http://schemas.microsoft.com/office/drawing/2014/main" id="{4CB5BFFF-BDCA-4162-9410-94AC15250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34" name="Grafik 233" descr="Hilfe">
          <a:extLst>
            <a:ext uri="{FF2B5EF4-FFF2-40B4-BE49-F238E27FC236}">
              <a16:creationId xmlns:a16="http://schemas.microsoft.com/office/drawing/2014/main" id="{675F74BA-3AB2-4BDC-8D17-5CF160B05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35" name="Grafik 234" descr="Hilfe">
          <a:extLst>
            <a:ext uri="{FF2B5EF4-FFF2-40B4-BE49-F238E27FC236}">
              <a16:creationId xmlns:a16="http://schemas.microsoft.com/office/drawing/2014/main" id="{CECBD087-3DB4-481F-8AA1-FB5578A18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36" name="Grafik 235" descr="Hilfe">
          <a:extLst>
            <a:ext uri="{FF2B5EF4-FFF2-40B4-BE49-F238E27FC236}">
              <a16:creationId xmlns:a16="http://schemas.microsoft.com/office/drawing/2014/main" id="{B66BF668-801F-432B-8664-219B4CBCFD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37" name="Grafik 236" descr="Hilfe">
          <a:extLst>
            <a:ext uri="{FF2B5EF4-FFF2-40B4-BE49-F238E27FC236}">
              <a16:creationId xmlns:a16="http://schemas.microsoft.com/office/drawing/2014/main" id="{ACB78240-52A0-4F4B-86AD-A2D9A0559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38" name="Grafik 237" descr="Hilfe">
          <a:extLst>
            <a:ext uri="{FF2B5EF4-FFF2-40B4-BE49-F238E27FC236}">
              <a16:creationId xmlns:a16="http://schemas.microsoft.com/office/drawing/2014/main" id="{A192C7D0-1308-4B98-AA44-2FFE47955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39" name="Grafik 238" descr="Hilfe">
          <a:extLst>
            <a:ext uri="{FF2B5EF4-FFF2-40B4-BE49-F238E27FC236}">
              <a16:creationId xmlns:a16="http://schemas.microsoft.com/office/drawing/2014/main" id="{CC9C175F-1831-46DA-A9CF-8E4EE0F62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40" name="Grafik 239" descr="Hilfe">
          <a:extLst>
            <a:ext uri="{FF2B5EF4-FFF2-40B4-BE49-F238E27FC236}">
              <a16:creationId xmlns:a16="http://schemas.microsoft.com/office/drawing/2014/main" id="{A4675E42-4BDE-46FC-AD7E-2129CD61D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41" name="Grafik 240" descr="Hilfe">
          <a:extLst>
            <a:ext uri="{FF2B5EF4-FFF2-40B4-BE49-F238E27FC236}">
              <a16:creationId xmlns:a16="http://schemas.microsoft.com/office/drawing/2014/main" id="{65878C42-D51D-4BB8-B8DD-597BCAFA8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42" name="Grafik 241" descr="Hilfe">
          <a:extLst>
            <a:ext uri="{FF2B5EF4-FFF2-40B4-BE49-F238E27FC236}">
              <a16:creationId xmlns:a16="http://schemas.microsoft.com/office/drawing/2014/main" id="{266AC6E7-EF76-4C1A-8116-25C43DB5D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43" name="Grafik 242" descr="Hilfe">
          <a:extLst>
            <a:ext uri="{FF2B5EF4-FFF2-40B4-BE49-F238E27FC236}">
              <a16:creationId xmlns:a16="http://schemas.microsoft.com/office/drawing/2014/main" id="{5B18FE55-B392-4BE8-89FE-68AAA821D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44" name="Grafik 243" descr="Hilfe">
          <a:extLst>
            <a:ext uri="{FF2B5EF4-FFF2-40B4-BE49-F238E27FC236}">
              <a16:creationId xmlns:a16="http://schemas.microsoft.com/office/drawing/2014/main" id="{070B5E4E-2128-490C-8F15-152B9F5B9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45" name="Grafik 244" descr="Hilfe">
          <a:extLst>
            <a:ext uri="{FF2B5EF4-FFF2-40B4-BE49-F238E27FC236}">
              <a16:creationId xmlns:a16="http://schemas.microsoft.com/office/drawing/2014/main" id="{5AA352D1-B5E7-47D5-ADCE-AE30C2CD6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46" name="Grafik 245" descr="Hilfe">
          <a:extLst>
            <a:ext uri="{FF2B5EF4-FFF2-40B4-BE49-F238E27FC236}">
              <a16:creationId xmlns:a16="http://schemas.microsoft.com/office/drawing/2014/main" id="{DE47F9BD-020B-4A40-A7AB-7BCA2A207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47" name="Grafik 246" descr="Hilfe">
          <a:extLst>
            <a:ext uri="{FF2B5EF4-FFF2-40B4-BE49-F238E27FC236}">
              <a16:creationId xmlns:a16="http://schemas.microsoft.com/office/drawing/2014/main" id="{EA7D5151-8ECB-49F6-A0E6-2028DBE6C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48" name="Grafik 247" descr="Hilfe">
          <a:extLst>
            <a:ext uri="{FF2B5EF4-FFF2-40B4-BE49-F238E27FC236}">
              <a16:creationId xmlns:a16="http://schemas.microsoft.com/office/drawing/2014/main" id="{42F3F103-4663-40A1-95FB-3BF4A798F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49" name="Grafik 248" descr="Hilfe">
          <a:extLst>
            <a:ext uri="{FF2B5EF4-FFF2-40B4-BE49-F238E27FC236}">
              <a16:creationId xmlns:a16="http://schemas.microsoft.com/office/drawing/2014/main" id="{F99F9836-8297-4090-9077-D736BEDB4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50" name="Grafik 249" descr="Hilfe">
          <a:extLst>
            <a:ext uri="{FF2B5EF4-FFF2-40B4-BE49-F238E27FC236}">
              <a16:creationId xmlns:a16="http://schemas.microsoft.com/office/drawing/2014/main" id="{4448F712-5C5C-4201-927E-9F34C3032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51" name="Grafik 250" descr="Hilfe">
          <a:extLst>
            <a:ext uri="{FF2B5EF4-FFF2-40B4-BE49-F238E27FC236}">
              <a16:creationId xmlns:a16="http://schemas.microsoft.com/office/drawing/2014/main" id="{9D61C4F4-B818-4048-B2C6-D93A920DF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52" name="Grafik 251" descr="Hilfe">
          <a:extLst>
            <a:ext uri="{FF2B5EF4-FFF2-40B4-BE49-F238E27FC236}">
              <a16:creationId xmlns:a16="http://schemas.microsoft.com/office/drawing/2014/main" id="{DCF07F3A-1305-42F7-AEE2-7F2F3D0EB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53" name="Grafik 252" descr="Hilfe">
          <a:extLst>
            <a:ext uri="{FF2B5EF4-FFF2-40B4-BE49-F238E27FC236}">
              <a16:creationId xmlns:a16="http://schemas.microsoft.com/office/drawing/2014/main" id="{373FD26C-1F10-4378-B42F-CCF8AFC25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54" name="Grafik 253" descr="Hilfe">
          <a:extLst>
            <a:ext uri="{FF2B5EF4-FFF2-40B4-BE49-F238E27FC236}">
              <a16:creationId xmlns:a16="http://schemas.microsoft.com/office/drawing/2014/main" id="{0E6B12CF-C443-4651-A5C0-92E3C2A74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55" name="Grafik 254" descr="Hilfe">
          <a:extLst>
            <a:ext uri="{FF2B5EF4-FFF2-40B4-BE49-F238E27FC236}">
              <a16:creationId xmlns:a16="http://schemas.microsoft.com/office/drawing/2014/main" id="{F691599A-EB80-4382-B17D-CF27E2287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56" name="Grafik 255" descr="Hilfe">
          <a:extLst>
            <a:ext uri="{FF2B5EF4-FFF2-40B4-BE49-F238E27FC236}">
              <a16:creationId xmlns:a16="http://schemas.microsoft.com/office/drawing/2014/main" id="{E328F5E5-2D2B-435D-9F86-B1829A9F3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57" name="Grafik 256" descr="Hilfe">
          <a:extLst>
            <a:ext uri="{FF2B5EF4-FFF2-40B4-BE49-F238E27FC236}">
              <a16:creationId xmlns:a16="http://schemas.microsoft.com/office/drawing/2014/main" id="{9BA55F84-C8C4-41B7-B5F7-02AD8113A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58" name="Grafik 257" descr="Hilfe">
          <a:extLst>
            <a:ext uri="{FF2B5EF4-FFF2-40B4-BE49-F238E27FC236}">
              <a16:creationId xmlns:a16="http://schemas.microsoft.com/office/drawing/2014/main" id="{79130459-80A4-43E9-A45D-AA91738C4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59" name="Grafik 258" descr="Hilfe">
          <a:extLst>
            <a:ext uri="{FF2B5EF4-FFF2-40B4-BE49-F238E27FC236}">
              <a16:creationId xmlns:a16="http://schemas.microsoft.com/office/drawing/2014/main" id="{FA9E8BBC-6C79-40E8-9824-3CD390CC1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60" name="Grafik 259" descr="Hilfe">
          <a:extLst>
            <a:ext uri="{FF2B5EF4-FFF2-40B4-BE49-F238E27FC236}">
              <a16:creationId xmlns:a16="http://schemas.microsoft.com/office/drawing/2014/main" id="{925492AE-474E-469B-9CFF-395DC63D8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61" name="Grafik 260" descr="Hilfe">
          <a:extLst>
            <a:ext uri="{FF2B5EF4-FFF2-40B4-BE49-F238E27FC236}">
              <a16:creationId xmlns:a16="http://schemas.microsoft.com/office/drawing/2014/main" id="{E4E33E94-9C69-4C8B-8C6D-50C859844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62" name="Grafik 261" descr="Hilfe">
          <a:extLst>
            <a:ext uri="{FF2B5EF4-FFF2-40B4-BE49-F238E27FC236}">
              <a16:creationId xmlns:a16="http://schemas.microsoft.com/office/drawing/2014/main" id="{A9347B56-2BB0-42E7-AC95-2EE4A5E59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63" name="Grafik 262" descr="Hilfe">
          <a:extLst>
            <a:ext uri="{FF2B5EF4-FFF2-40B4-BE49-F238E27FC236}">
              <a16:creationId xmlns:a16="http://schemas.microsoft.com/office/drawing/2014/main" id="{13ABB873-052E-4575-959F-CB6048A8C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64" name="Grafik 263" descr="Hilfe">
          <a:extLst>
            <a:ext uri="{FF2B5EF4-FFF2-40B4-BE49-F238E27FC236}">
              <a16:creationId xmlns:a16="http://schemas.microsoft.com/office/drawing/2014/main" id="{B6B80E59-13DF-4FAC-96FA-A10718FC1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65" name="Grafik 264" descr="Hilfe">
          <a:extLst>
            <a:ext uri="{FF2B5EF4-FFF2-40B4-BE49-F238E27FC236}">
              <a16:creationId xmlns:a16="http://schemas.microsoft.com/office/drawing/2014/main" id="{C1AB7698-CB08-407B-854A-227B75231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66" name="Grafik 265" descr="Hilfe">
          <a:extLst>
            <a:ext uri="{FF2B5EF4-FFF2-40B4-BE49-F238E27FC236}">
              <a16:creationId xmlns:a16="http://schemas.microsoft.com/office/drawing/2014/main" id="{6D68BC68-008F-452B-8CE0-8CD0B72A2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67" name="Grafik 266" descr="Hilfe">
          <a:extLst>
            <a:ext uri="{FF2B5EF4-FFF2-40B4-BE49-F238E27FC236}">
              <a16:creationId xmlns:a16="http://schemas.microsoft.com/office/drawing/2014/main" id="{F3A9A670-CE02-4533-9D78-228D8ADDF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68" name="Grafik 267" descr="Hilfe">
          <a:extLst>
            <a:ext uri="{FF2B5EF4-FFF2-40B4-BE49-F238E27FC236}">
              <a16:creationId xmlns:a16="http://schemas.microsoft.com/office/drawing/2014/main" id="{3B3A3BE0-3D9B-4607-9EE5-015C1A11C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69" name="Grafik 268" descr="Hilfe">
          <a:extLst>
            <a:ext uri="{FF2B5EF4-FFF2-40B4-BE49-F238E27FC236}">
              <a16:creationId xmlns:a16="http://schemas.microsoft.com/office/drawing/2014/main" id="{24463595-315A-4C1D-BD79-AE9B085D6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70" name="Grafik 269" descr="Hilfe">
          <a:extLst>
            <a:ext uri="{FF2B5EF4-FFF2-40B4-BE49-F238E27FC236}">
              <a16:creationId xmlns:a16="http://schemas.microsoft.com/office/drawing/2014/main" id="{7B885041-144C-4E8F-920D-ECD54DAD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71" name="Grafik 270" descr="Hilfe">
          <a:extLst>
            <a:ext uri="{FF2B5EF4-FFF2-40B4-BE49-F238E27FC236}">
              <a16:creationId xmlns:a16="http://schemas.microsoft.com/office/drawing/2014/main" id="{DCD4209F-B507-4CBB-82EC-A6CD5C5CC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72" name="Grafik 271" descr="Hilfe">
          <a:extLst>
            <a:ext uri="{FF2B5EF4-FFF2-40B4-BE49-F238E27FC236}">
              <a16:creationId xmlns:a16="http://schemas.microsoft.com/office/drawing/2014/main" id="{06D0C5FA-A0F5-4869-97C0-6F49EACFC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73" name="Grafik 272" descr="Hilfe">
          <a:extLst>
            <a:ext uri="{FF2B5EF4-FFF2-40B4-BE49-F238E27FC236}">
              <a16:creationId xmlns:a16="http://schemas.microsoft.com/office/drawing/2014/main" id="{F0C3A84B-B3AA-4B22-9A07-DEBFD88BD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74" name="Grafik 273" descr="Hilfe">
          <a:extLst>
            <a:ext uri="{FF2B5EF4-FFF2-40B4-BE49-F238E27FC236}">
              <a16:creationId xmlns:a16="http://schemas.microsoft.com/office/drawing/2014/main" id="{3A49B1CA-8A94-4971-AEB7-650B1B56E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75" name="Grafik 274" descr="Hilfe">
          <a:extLst>
            <a:ext uri="{FF2B5EF4-FFF2-40B4-BE49-F238E27FC236}">
              <a16:creationId xmlns:a16="http://schemas.microsoft.com/office/drawing/2014/main" id="{1605FB79-A045-4490-99BF-8679B3CDC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76" name="Grafik 275" descr="Hilfe">
          <a:extLst>
            <a:ext uri="{FF2B5EF4-FFF2-40B4-BE49-F238E27FC236}">
              <a16:creationId xmlns:a16="http://schemas.microsoft.com/office/drawing/2014/main" id="{6AA7E701-4270-4EA1-8CDE-D217454F6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77" name="Grafik 276" descr="Hilfe">
          <a:extLst>
            <a:ext uri="{FF2B5EF4-FFF2-40B4-BE49-F238E27FC236}">
              <a16:creationId xmlns:a16="http://schemas.microsoft.com/office/drawing/2014/main" id="{09995820-D23E-4352-94DC-EC864CC37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78" name="Grafik 277" descr="Hilfe">
          <a:extLst>
            <a:ext uri="{FF2B5EF4-FFF2-40B4-BE49-F238E27FC236}">
              <a16:creationId xmlns:a16="http://schemas.microsoft.com/office/drawing/2014/main" id="{C736E00B-EA02-47A1-A162-3F420F92E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79" name="Grafik 278" descr="Hilfe">
          <a:extLst>
            <a:ext uri="{FF2B5EF4-FFF2-40B4-BE49-F238E27FC236}">
              <a16:creationId xmlns:a16="http://schemas.microsoft.com/office/drawing/2014/main" id="{65DDCCF3-63D1-4A48-BC4D-32B9D364C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80" name="Grafik 279" descr="Hilfe">
          <a:extLst>
            <a:ext uri="{FF2B5EF4-FFF2-40B4-BE49-F238E27FC236}">
              <a16:creationId xmlns:a16="http://schemas.microsoft.com/office/drawing/2014/main" id="{0BFEF67E-0CD6-4C5F-BE41-44CF70A28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81" name="Grafik 280" descr="Hilfe">
          <a:extLst>
            <a:ext uri="{FF2B5EF4-FFF2-40B4-BE49-F238E27FC236}">
              <a16:creationId xmlns:a16="http://schemas.microsoft.com/office/drawing/2014/main" id="{DAD67355-6DEB-41A2-AE65-E59EDA077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82" name="Grafik 281" descr="Hilfe">
          <a:extLst>
            <a:ext uri="{FF2B5EF4-FFF2-40B4-BE49-F238E27FC236}">
              <a16:creationId xmlns:a16="http://schemas.microsoft.com/office/drawing/2014/main" id="{EB4DA7B1-B099-442A-B17E-454B6B7A2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83" name="Grafik 282" descr="Hilfe">
          <a:extLst>
            <a:ext uri="{FF2B5EF4-FFF2-40B4-BE49-F238E27FC236}">
              <a16:creationId xmlns:a16="http://schemas.microsoft.com/office/drawing/2014/main" id="{EB3D2ED5-A962-4F26-8F46-FCC2B6EA9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84" name="Grafik 283" descr="Hilfe">
          <a:extLst>
            <a:ext uri="{FF2B5EF4-FFF2-40B4-BE49-F238E27FC236}">
              <a16:creationId xmlns:a16="http://schemas.microsoft.com/office/drawing/2014/main" id="{CF822096-4F53-4F2D-AE5F-D1EA16E47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85" name="Grafik 284" descr="Hilfe">
          <a:extLst>
            <a:ext uri="{FF2B5EF4-FFF2-40B4-BE49-F238E27FC236}">
              <a16:creationId xmlns:a16="http://schemas.microsoft.com/office/drawing/2014/main" id="{80102E38-98E5-4963-ABD8-7086855C5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86" name="Grafik 285" descr="Hilfe">
          <a:extLst>
            <a:ext uri="{FF2B5EF4-FFF2-40B4-BE49-F238E27FC236}">
              <a16:creationId xmlns:a16="http://schemas.microsoft.com/office/drawing/2014/main" id="{DC4B4260-B6A1-4A0E-B1A0-90080C52E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87" name="Grafik 286" descr="Hilfe">
          <a:extLst>
            <a:ext uri="{FF2B5EF4-FFF2-40B4-BE49-F238E27FC236}">
              <a16:creationId xmlns:a16="http://schemas.microsoft.com/office/drawing/2014/main" id="{1A0DFA98-2FC1-4639-B7F2-1E95C2815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88" name="Grafik 287" descr="Hilfe">
          <a:extLst>
            <a:ext uri="{FF2B5EF4-FFF2-40B4-BE49-F238E27FC236}">
              <a16:creationId xmlns:a16="http://schemas.microsoft.com/office/drawing/2014/main" id="{5DE4F695-FF29-4BED-924A-E0895C01F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89" name="Grafik 288" descr="Hilfe">
          <a:extLst>
            <a:ext uri="{FF2B5EF4-FFF2-40B4-BE49-F238E27FC236}">
              <a16:creationId xmlns:a16="http://schemas.microsoft.com/office/drawing/2014/main" id="{18CBA761-C64A-45C9-B1E3-309792808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90" name="Grafik 289" descr="Hilfe">
          <a:extLst>
            <a:ext uri="{FF2B5EF4-FFF2-40B4-BE49-F238E27FC236}">
              <a16:creationId xmlns:a16="http://schemas.microsoft.com/office/drawing/2014/main" id="{0C1D0955-4373-4E0C-9B6F-4448DEAA6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91" name="Grafik 290" descr="Hilfe">
          <a:extLst>
            <a:ext uri="{FF2B5EF4-FFF2-40B4-BE49-F238E27FC236}">
              <a16:creationId xmlns:a16="http://schemas.microsoft.com/office/drawing/2014/main" id="{407EA263-A803-4B6B-B58F-0B37BA33E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92" name="Grafik 291" descr="Hilfe">
          <a:extLst>
            <a:ext uri="{FF2B5EF4-FFF2-40B4-BE49-F238E27FC236}">
              <a16:creationId xmlns:a16="http://schemas.microsoft.com/office/drawing/2014/main" id="{A3F8183F-60D6-41E7-B02B-2213D6277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93" name="Grafik 292" descr="Hilfe">
          <a:extLst>
            <a:ext uri="{FF2B5EF4-FFF2-40B4-BE49-F238E27FC236}">
              <a16:creationId xmlns:a16="http://schemas.microsoft.com/office/drawing/2014/main" id="{6D57D2BE-F116-4C94-A5DF-AC286545C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94" name="Grafik 293" descr="Hilfe">
          <a:extLst>
            <a:ext uri="{FF2B5EF4-FFF2-40B4-BE49-F238E27FC236}">
              <a16:creationId xmlns:a16="http://schemas.microsoft.com/office/drawing/2014/main" id="{9059E965-F111-42B3-A071-0565D607A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95" name="Grafik 294" descr="Hilfe">
          <a:extLst>
            <a:ext uri="{FF2B5EF4-FFF2-40B4-BE49-F238E27FC236}">
              <a16:creationId xmlns:a16="http://schemas.microsoft.com/office/drawing/2014/main" id="{DD0735D7-9DA3-4CB1-B828-4BA7D345D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96" name="Grafik 295" descr="Hilfe">
          <a:extLst>
            <a:ext uri="{FF2B5EF4-FFF2-40B4-BE49-F238E27FC236}">
              <a16:creationId xmlns:a16="http://schemas.microsoft.com/office/drawing/2014/main" id="{438EBA57-3967-4C96-91F6-E011B6BCA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97" name="Grafik 296" descr="Hilfe">
          <a:extLst>
            <a:ext uri="{FF2B5EF4-FFF2-40B4-BE49-F238E27FC236}">
              <a16:creationId xmlns:a16="http://schemas.microsoft.com/office/drawing/2014/main" id="{A1D8C1DD-CD15-4CAA-87F4-1689CD6E6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98" name="Grafik 297" descr="Hilfe">
          <a:extLst>
            <a:ext uri="{FF2B5EF4-FFF2-40B4-BE49-F238E27FC236}">
              <a16:creationId xmlns:a16="http://schemas.microsoft.com/office/drawing/2014/main" id="{D1D35E82-22B1-4608-A0E7-762714D64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299" name="Grafik 298" descr="Hilfe">
          <a:extLst>
            <a:ext uri="{FF2B5EF4-FFF2-40B4-BE49-F238E27FC236}">
              <a16:creationId xmlns:a16="http://schemas.microsoft.com/office/drawing/2014/main" id="{C44FF71B-56DE-4213-855B-D516F117C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300" name="Grafik 299" descr="Hilfe">
          <a:extLst>
            <a:ext uri="{FF2B5EF4-FFF2-40B4-BE49-F238E27FC236}">
              <a16:creationId xmlns:a16="http://schemas.microsoft.com/office/drawing/2014/main" id="{02989DA4-AAEE-4265-AD5D-6601FC49B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301" name="Grafik 300" descr="Hilfe">
          <a:extLst>
            <a:ext uri="{FF2B5EF4-FFF2-40B4-BE49-F238E27FC236}">
              <a16:creationId xmlns:a16="http://schemas.microsoft.com/office/drawing/2014/main" id="{5BE67E2D-07B0-4C6D-AD07-425ADAB7C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302" name="Grafik 301" descr="Hilfe">
          <a:extLst>
            <a:ext uri="{FF2B5EF4-FFF2-40B4-BE49-F238E27FC236}">
              <a16:creationId xmlns:a16="http://schemas.microsoft.com/office/drawing/2014/main" id="{8FBE381B-89CD-4690-9908-F83E8F3A4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303" name="Grafik 302" descr="Hilfe">
          <a:extLst>
            <a:ext uri="{FF2B5EF4-FFF2-40B4-BE49-F238E27FC236}">
              <a16:creationId xmlns:a16="http://schemas.microsoft.com/office/drawing/2014/main" id="{2398369D-C1AF-4958-A8CA-3BCC50891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304" name="Grafik 303" descr="Hilfe">
          <a:extLst>
            <a:ext uri="{FF2B5EF4-FFF2-40B4-BE49-F238E27FC236}">
              <a16:creationId xmlns:a16="http://schemas.microsoft.com/office/drawing/2014/main" id="{EE9C998B-D73C-4BE0-A086-57AAD3D8D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305" name="Grafik 304" descr="Hilfe">
          <a:extLst>
            <a:ext uri="{FF2B5EF4-FFF2-40B4-BE49-F238E27FC236}">
              <a16:creationId xmlns:a16="http://schemas.microsoft.com/office/drawing/2014/main" id="{193645D1-D2B6-40B6-AC51-815606A35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306" name="Grafik 305" descr="Hilfe">
          <a:extLst>
            <a:ext uri="{FF2B5EF4-FFF2-40B4-BE49-F238E27FC236}">
              <a16:creationId xmlns:a16="http://schemas.microsoft.com/office/drawing/2014/main" id="{9BA5CF45-E116-4DCA-BD57-3B429CA3F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307" name="Grafik 306" descr="Hilfe">
          <a:extLst>
            <a:ext uri="{FF2B5EF4-FFF2-40B4-BE49-F238E27FC236}">
              <a16:creationId xmlns:a16="http://schemas.microsoft.com/office/drawing/2014/main" id="{24C94D8E-AA24-4E70-8959-50BAB933A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308" name="Grafik 307" descr="Hilfe">
          <a:extLst>
            <a:ext uri="{FF2B5EF4-FFF2-40B4-BE49-F238E27FC236}">
              <a16:creationId xmlns:a16="http://schemas.microsoft.com/office/drawing/2014/main" id="{9308A2A7-A825-4C3C-A9FD-969B0B687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309" name="Grafik 308" descr="Hilfe">
          <a:extLst>
            <a:ext uri="{FF2B5EF4-FFF2-40B4-BE49-F238E27FC236}">
              <a16:creationId xmlns:a16="http://schemas.microsoft.com/office/drawing/2014/main" id="{393058A6-86D6-4532-89EA-254567443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310" name="Grafik 309" descr="Hilfe">
          <a:extLst>
            <a:ext uri="{FF2B5EF4-FFF2-40B4-BE49-F238E27FC236}">
              <a16:creationId xmlns:a16="http://schemas.microsoft.com/office/drawing/2014/main" id="{AF41D8B8-0633-4057-B6F0-EA8D8677E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311" name="Grafik 310" descr="Hilfe">
          <a:extLst>
            <a:ext uri="{FF2B5EF4-FFF2-40B4-BE49-F238E27FC236}">
              <a16:creationId xmlns:a16="http://schemas.microsoft.com/office/drawing/2014/main" id="{7135C2A9-4EFD-4CCA-A777-2A43891FD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312" name="Grafik 311" descr="Hilfe">
          <a:extLst>
            <a:ext uri="{FF2B5EF4-FFF2-40B4-BE49-F238E27FC236}">
              <a16:creationId xmlns:a16="http://schemas.microsoft.com/office/drawing/2014/main" id="{850EE2C3-E1E0-4A18-B047-46809E530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313" name="Grafik 312" descr="Hilfe">
          <a:extLst>
            <a:ext uri="{FF2B5EF4-FFF2-40B4-BE49-F238E27FC236}">
              <a16:creationId xmlns:a16="http://schemas.microsoft.com/office/drawing/2014/main" id="{829D2B07-C010-43F6-B90C-4899C9371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314" name="Grafik 313" descr="Hilfe">
          <a:extLst>
            <a:ext uri="{FF2B5EF4-FFF2-40B4-BE49-F238E27FC236}">
              <a16:creationId xmlns:a16="http://schemas.microsoft.com/office/drawing/2014/main" id="{CABA36EB-05B3-4496-B195-D34BD389A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315" name="Grafik 314" descr="Hilfe">
          <a:extLst>
            <a:ext uri="{FF2B5EF4-FFF2-40B4-BE49-F238E27FC236}">
              <a16:creationId xmlns:a16="http://schemas.microsoft.com/office/drawing/2014/main" id="{7DB177E4-FB36-479F-9D8C-C9982CE37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316" name="Grafik 315" descr="Hilfe">
          <a:extLst>
            <a:ext uri="{FF2B5EF4-FFF2-40B4-BE49-F238E27FC236}">
              <a16:creationId xmlns:a16="http://schemas.microsoft.com/office/drawing/2014/main" id="{B19545BD-5C3C-4FA2-92F7-FF6454168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317" name="Grafik 316" descr="Hilfe">
          <a:extLst>
            <a:ext uri="{FF2B5EF4-FFF2-40B4-BE49-F238E27FC236}">
              <a16:creationId xmlns:a16="http://schemas.microsoft.com/office/drawing/2014/main" id="{ED03009D-1E89-4349-88C8-FD600DF79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318" name="Grafik 317" descr="Hilfe">
          <a:extLst>
            <a:ext uri="{FF2B5EF4-FFF2-40B4-BE49-F238E27FC236}">
              <a16:creationId xmlns:a16="http://schemas.microsoft.com/office/drawing/2014/main" id="{E9374652-5045-4430-B62B-8DE12ECBD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319" name="Grafik 318" descr="Hilfe">
          <a:extLst>
            <a:ext uri="{FF2B5EF4-FFF2-40B4-BE49-F238E27FC236}">
              <a16:creationId xmlns:a16="http://schemas.microsoft.com/office/drawing/2014/main" id="{8C76418A-03D0-4E5B-8592-22D9B4BE0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320" name="Grafik 319" descr="Hilfe">
          <a:extLst>
            <a:ext uri="{FF2B5EF4-FFF2-40B4-BE49-F238E27FC236}">
              <a16:creationId xmlns:a16="http://schemas.microsoft.com/office/drawing/2014/main" id="{F670C02B-6A13-4B2C-BDC2-96ABC4475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104</xdr:row>
      <xdr:rowOff>0</xdr:rowOff>
    </xdr:from>
    <xdr:ext cx="19050" cy="19050"/>
    <xdr:pic>
      <xdr:nvPicPr>
        <xdr:cNvPr id="321" name="Grafik 320" descr="Hilfe">
          <a:extLst>
            <a:ext uri="{FF2B5EF4-FFF2-40B4-BE49-F238E27FC236}">
              <a16:creationId xmlns:a16="http://schemas.microsoft.com/office/drawing/2014/main" id="{ABCE3660-C774-4FB0-B86A-A261667F9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9812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upportnews.info/language-services/tco/psp-fritzwlan-stick-6700-r197/" TargetMode="External"/><Relationship Id="rId21" Type="http://schemas.openxmlformats.org/officeDocument/2006/relationships/hyperlink" Target="https://supportnews.info/language-services/d2c/%C3%BCbersetzungsauftrag-pdp-7682-7632-r153/?tab=comments" TargetMode="External"/><Relationship Id="rId42" Type="http://schemas.openxmlformats.org/officeDocument/2006/relationships/hyperlink" Target="https://supportnews.info/index.php?app=core&amp;module=system&amp;controller=redirect&amp;url=https://supportnews.info/language-services/vertrieb/chat-lektorat-business-update-f%25C3%25BCr-m%25C3%25A4rz-r160/&amp;key=0958dafceace8b2fca61db16d1ed12a83dfeb90aa144f53cf97b6cf0bc743bd6&amp;email=1&amp;type=notification_new_content" TargetMode="External"/><Relationship Id="rId63" Type="http://schemas.openxmlformats.org/officeDocument/2006/relationships/hyperlink" Target="https://supportnews.info/language-services/d2c/%C3%BCbersetzungsauftrag-b2b-landingpage-bundle-produktfinder-r169/" TargetMode="External"/><Relationship Id="rId84" Type="http://schemas.openxmlformats.org/officeDocument/2006/relationships/hyperlink" Target="https://supportnews.info/language-services/d2c/%C3%BCbersetzungsauftrag-amazon-vergleichstabelle-r176/?tab=comments" TargetMode="External"/><Relationship Id="rId138" Type="http://schemas.openxmlformats.org/officeDocument/2006/relationships/hyperlink" Target="https://supportnews.info/language-services/tco/psp-fritzbox-6690-pro-5630-5630-xgs-r210/" TargetMode="External"/><Relationship Id="rId159" Type="http://schemas.openxmlformats.org/officeDocument/2006/relationships/hyperlink" Target="https://supportnews.info/language-services/legal/%C3%BCberarbeitung-dse-bewerber-r258/" TargetMode="External"/><Relationship Id="rId107" Type="http://schemas.openxmlformats.org/officeDocument/2006/relationships/hyperlink" Target="https://supportnews.info/language-services/d2c/%C3%BCbersetzungsauftrag-template-der-6860-v2-deutsche-version-und-internationale-version-r194/" TargetMode="External"/><Relationship Id="rId11" Type="http://schemas.openxmlformats.org/officeDocument/2006/relationships/hyperlink" Target="https://supportnews.info/language-services/d2c/b2b-landing-page-r147/?tab=comments" TargetMode="External"/><Relationship Id="rId32" Type="http://schemas.openxmlformats.org/officeDocument/2006/relationships/hyperlink" Target="https://supportnews.info/language-services/kom/affiliate-plattform-awin-%C3%BCbersetzung-de-es-r156/" TargetMode="External"/><Relationship Id="rId53" Type="http://schemas.openxmlformats.org/officeDocument/2006/relationships/hyperlink" Target="https://supportnews.info/language-services/d2c/%C3%BCbersetzungsauftrag-b2b-landingpage-bundle-produktfinder-r169/" TargetMode="External"/><Relationship Id="rId74" Type="http://schemas.openxmlformats.org/officeDocument/2006/relationships/hyperlink" Target="https://supportnews.info/language-services/vertrieb/produktank%C3%BCndigung-fritzbox-7630-edition-international-%C3%BCbersetzung-in-en-fr-it-nl-es-pl-r180/" TargetMode="External"/><Relationship Id="rId128" Type="http://schemas.openxmlformats.org/officeDocument/2006/relationships/hyperlink" Target="https://supportnews.info/language-services/d2c/fritzwlan-stick-6700-shopify-r209/" TargetMode="External"/><Relationship Id="rId149" Type="http://schemas.openxmlformats.org/officeDocument/2006/relationships/hyperlink" Target="https://supportnews.info/language-services/d2c/%C3%BCbersetzungsauftrag-5690-pro-banner-r214/" TargetMode="External"/><Relationship Id="rId5" Type="http://schemas.openxmlformats.org/officeDocument/2006/relationships/hyperlink" Target="https://supportnews.info/language-services/tco/psp-fritzbox-4630-r95/" TargetMode="External"/><Relationship Id="rId95" Type="http://schemas.openxmlformats.org/officeDocument/2006/relationships/hyperlink" Target="https://supportnews.info/language-services/d2c/%C3%BCbersetzungen-f%C3%BCr-neue-shopseite-5690-pro-r189/" TargetMode="External"/><Relationship Id="rId160" Type="http://schemas.openxmlformats.org/officeDocument/2006/relationships/printerSettings" Target="../printerSettings/printerSettings1.bin"/><Relationship Id="rId22" Type="http://schemas.openxmlformats.org/officeDocument/2006/relationships/hyperlink" Target="https://supportnews.info/language-services/d2c/%C3%BCbersetzungsauftrag-pdp-7682-7632-r153/?tab=comments" TargetMode="External"/><Relationship Id="rId43" Type="http://schemas.openxmlformats.org/officeDocument/2006/relationships/hyperlink" Target="https://supportnews.info/language-services/vertrieb/de-lektorat-business-update-de-m%C3%A4rz-2-r163/" TargetMode="External"/><Relationship Id="rId64" Type="http://schemas.openxmlformats.org/officeDocument/2006/relationships/hyperlink" Target="https://supportnews.info/language-services/d2c/%C3%BCbersetzungsauftrag-b2b-landingpage-bundle-produktfinder-r169/" TargetMode="External"/><Relationship Id="rId118" Type="http://schemas.openxmlformats.org/officeDocument/2006/relationships/hyperlink" Target="https://supportnews.info/language-services/tco/psp-fritzwlan-stick-6700-r197/" TargetMode="External"/><Relationship Id="rId139" Type="http://schemas.openxmlformats.org/officeDocument/2006/relationships/hyperlink" Target="https://supportnews.info/language-services/d2c/%C3%BCbersetzungsauftrag-404-seite-r51/" TargetMode="External"/><Relationship Id="rId85" Type="http://schemas.openxmlformats.org/officeDocument/2006/relationships/hyperlink" Target="https://supportnews.info/language-services/d2c/%C3%BCbersetzungsauftrag-amazon-vergleichstabelle-r176/?tab=comments" TargetMode="External"/><Relationship Id="rId150" Type="http://schemas.openxmlformats.org/officeDocument/2006/relationships/hyperlink" Target="https://supportnews.info/language-services/kom/mailing-save-the-date-anga-r212/" TargetMode="External"/><Relationship Id="rId12" Type="http://schemas.openxmlformats.org/officeDocument/2006/relationships/hyperlink" Target="https://supportnews.info/language-services/d2c/b2b-landing-page-r147/?tab=comments" TargetMode="External"/><Relationship Id="rId17" Type="http://schemas.openxmlformats.org/officeDocument/2006/relationships/hyperlink" Target="https://supportnews.info/language-services/d2c/b2b-produktberater-und-teasertext-f%C3%BCr-startseite-r151/" TargetMode="External"/><Relationship Id="rId33" Type="http://schemas.openxmlformats.org/officeDocument/2006/relationships/hyperlink" Target="https://supportnews.info/language-services/kom/affiliate-plattform-awin-%C3%BCbersetzung-de-es-r156/" TargetMode="External"/><Relationship Id="rId38" Type="http://schemas.openxmlformats.org/officeDocument/2006/relationships/hyperlink" Target="https://supportnews.info/language-services/d2c/%C3%BCbersetzung-automail-oster-gewinnspiel-r162/" TargetMode="External"/><Relationship Id="rId59" Type="http://schemas.openxmlformats.org/officeDocument/2006/relationships/hyperlink" Target="https://supportnews.info/language-services/d2c/%C3%BCbersetzungsauftrag-b2b-landingpage-bundle-produktfinder-r169/" TargetMode="External"/><Relationship Id="rId103" Type="http://schemas.openxmlformats.org/officeDocument/2006/relationships/hyperlink" Target="https://supportnews.info/language-services/vertrieb/nl-landingpage-fritz-k%C3%B6nig-r193/" TargetMode="External"/><Relationship Id="rId108" Type="http://schemas.openxmlformats.org/officeDocument/2006/relationships/hyperlink" Target="https://supportnews.info/language-services/d2c/%C3%BCbersetzungsauftrag-template-der-6860-v2-deutsche-version-und-internationale-version-r194/" TargetMode="External"/><Relationship Id="rId124" Type="http://schemas.openxmlformats.org/officeDocument/2006/relationships/hyperlink" Target="https://supportnews.info/language-services/kom/testleitf%C3%A4den-2-r205/" TargetMode="External"/><Relationship Id="rId129" Type="http://schemas.openxmlformats.org/officeDocument/2006/relationships/hyperlink" Target="https://supportnews.info/language-services/d2c/fritzwlan-stick-6700-shopify-r209/" TargetMode="External"/><Relationship Id="rId54" Type="http://schemas.openxmlformats.org/officeDocument/2006/relationships/hyperlink" Target="https://supportnews.info/language-services/d2c/%C3%BCbersetzungsauftrag-b2b-landingpage-bundle-produktfinder-r169/" TargetMode="External"/><Relationship Id="rId70" Type="http://schemas.openxmlformats.org/officeDocument/2006/relationships/hyperlink" Target="https://supportnews.info/language-services/vertrieb/produktank%C3%BCndigung-fritzbox-7630-edition-international-%C3%BCbersetzung-in-en-fr-it-nl-es-pl-r180/" TargetMode="External"/><Relationship Id="rId75" Type="http://schemas.openxmlformats.org/officeDocument/2006/relationships/hyperlink" Target="https://supportnews.info/language-services/kom/testleitf%C3%A4den-r168/" TargetMode="External"/><Relationship Id="rId91" Type="http://schemas.openxmlformats.org/officeDocument/2006/relationships/hyperlink" Target="https://supportnews.info/language-services/d2c/%C3%BCbersetzung-d2c-formular-oster-gewinnspiel-r184/" TargetMode="External"/><Relationship Id="rId96" Type="http://schemas.openxmlformats.org/officeDocument/2006/relationships/hyperlink" Target="https://supportnews.info/language-services/d2c/%C3%BCbersetzungen-f%C3%BCr-neue-shopseite-5690-pro-r189/" TargetMode="External"/><Relationship Id="rId140" Type="http://schemas.openxmlformats.org/officeDocument/2006/relationships/hyperlink" Target="https://supportnews.info/language-services/d2c/%C3%BCbersetzungsauftrag-404-seite-r51/" TargetMode="External"/><Relationship Id="rId145" Type="http://schemas.openxmlformats.org/officeDocument/2006/relationships/hyperlink" Target="https://supportnews.info/language-services/tco/frage-zum-fritz-shop-%C3%BCbersetzen-r200/" TargetMode="External"/><Relationship Id="rId161" Type="http://schemas.openxmlformats.org/officeDocument/2006/relationships/drawing" Target="../drawings/drawing1.xml"/><Relationship Id="rId1" Type="http://schemas.openxmlformats.org/officeDocument/2006/relationships/hyperlink" Target="https://supportnews.info/language-services/tco/psp-fritzbox-4630-r95/" TargetMode="External"/><Relationship Id="rId6" Type="http://schemas.openxmlformats.org/officeDocument/2006/relationships/hyperlink" Target="https://supportnews.info/language-services/d2c/%C3%BCbersetzungsauftrag-failsafe-bundle-auf-en-r139/" TargetMode="External"/><Relationship Id="rId23" Type="http://schemas.openxmlformats.org/officeDocument/2006/relationships/hyperlink" Target="https://supportnews.info/language-services/d2c/%C3%BCbersetzungsauftrag-pdp-7682-7632-r153/?tab=comments" TargetMode="External"/><Relationship Id="rId28" Type="http://schemas.openxmlformats.org/officeDocument/2006/relationships/hyperlink" Target="https://supportnews.info/language-services/d2c/%C3%BCbersetzung-banner-ostern-spring-deals-r138/" TargetMode="External"/><Relationship Id="rId49" Type="http://schemas.openxmlformats.org/officeDocument/2006/relationships/hyperlink" Target="https://supportnews.info/language-services/d2c/%C3%BCbersetzungsauftrag-versand-timeline-service-box-r174/?tab=comments" TargetMode="External"/><Relationship Id="rId114" Type="http://schemas.openxmlformats.org/officeDocument/2006/relationships/hyperlink" Target="https://supportnews.info/language-services/pm/labortexte-kw13-r195/" TargetMode="External"/><Relationship Id="rId119" Type="http://schemas.openxmlformats.org/officeDocument/2006/relationships/hyperlink" Target="https://supportnews.info/language-services/vertrieb/nl-newsletter-april-r201/" TargetMode="External"/><Relationship Id="rId44" Type="http://schemas.openxmlformats.org/officeDocument/2006/relationships/hyperlink" Target="https://supportnews.info/language-services/d2c/%C3%BCbersetzung-teilnahmebedingungen-auf-englisch-italienisch-spanisch-und-niederl%C3%A4ndisch-r166/" TargetMode="External"/><Relationship Id="rId60" Type="http://schemas.openxmlformats.org/officeDocument/2006/relationships/hyperlink" Target="https://supportnews.info/language-services/d2c/%C3%BCbersetzungsauftrag-b2b-landingpage-bundle-produktfinder-r169/" TargetMode="External"/><Relationship Id="rId65" Type="http://schemas.openxmlformats.org/officeDocument/2006/relationships/hyperlink" Target="https://supportnews.info/language-services/vertrieb/it-%C3%BCbersetzung-business-update-m%C3%A4rz-r177/" TargetMode="External"/><Relationship Id="rId81" Type="http://schemas.openxmlformats.org/officeDocument/2006/relationships/hyperlink" Target="https://supportnews.info/language-services/pm/labortexte-kw12-r182/" TargetMode="External"/><Relationship Id="rId86" Type="http://schemas.openxmlformats.org/officeDocument/2006/relationships/hyperlink" Target="https://supportnews.info/language-services/d2c/%C3%BCbersetzungsauftrag-amazon-vergleichstabelle-r176/?tab=comments" TargetMode="External"/><Relationship Id="rId130" Type="http://schemas.openxmlformats.org/officeDocument/2006/relationships/hyperlink" Target="https://supportnews.info/language-services/d2c/fritzwlan-stick-6700-shopify-r209/" TargetMode="External"/><Relationship Id="rId135" Type="http://schemas.openxmlformats.org/officeDocument/2006/relationships/hyperlink" Target="https://supportnews.info/language-services/d2c/fritzwlan-stick-6700-shopify-r209/" TargetMode="External"/><Relationship Id="rId151" Type="http://schemas.openxmlformats.org/officeDocument/2006/relationships/hyperlink" Target="https://supportnews.info/language-services/kom/%C3%BCbersetzungsauftrag-blog-beitrag-fritz-gl%C3%A4nzt-in-gleich-mehreren-router-tests-r213/" TargetMode="External"/><Relationship Id="rId156" Type="http://schemas.openxmlformats.org/officeDocument/2006/relationships/hyperlink" Target="https://supportnews.info/language-services/vertrieb/chat-lektorat-business-update-f%C3%BCr-m%C3%A4rz-r160/" TargetMode="External"/><Relationship Id="rId13" Type="http://schemas.openxmlformats.org/officeDocument/2006/relationships/hyperlink" Target="https://supportnews.info/language-services/d2c/%C3%BCbersetzung-hinweistext-bei-anmeldung-zum-newsletter-r141/" TargetMode="External"/><Relationship Id="rId18" Type="http://schemas.openxmlformats.org/officeDocument/2006/relationships/hyperlink" Target="https://supportnews.info/language-services/kom/pi-fritz-auf-der-light-building-r145/?tab=comments" TargetMode="External"/><Relationship Id="rId39" Type="http://schemas.openxmlformats.org/officeDocument/2006/relationships/hyperlink" Target="https://supportnews.info/language-services/d2c/%C3%BCbersetzung-automail-oster-gewinnspiel-r162/" TargetMode="External"/><Relationship Id="rId109" Type="http://schemas.openxmlformats.org/officeDocument/2006/relationships/hyperlink" Target="https://supportnews.info/language-services/d2c/%C3%BCbersetzungsauftrag-template-der-6860-v2-deutsche-version-und-internationale-version-r194/" TargetMode="External"/><Relationship Id="rId34" Type="http://schemas.openxmlformats.org/officeDocument/2006/relationships/hyperlink" Target="https://supportnews.info/language-services/kom/affiliate-plattform-awin-%C3%BCbersetzung-de-es-r156/" TargetMode="External"/><Relationship Id="rId50" Type="http://schemas.openxmlformats.org/officeDocument/2006/relationships/hyperlink" Target="https://supportnews.info/language-services/d2c/%C3%BCbersetzungen-f%C3%BCr-shop-grafiken-r175/" TargetMode="External"/><Relationship Id="rId55" Type="http://schemas.openxmlformats.org/officeDocument/2006/relationships/hyperlink" Target="https://supportnews.info/language-services/d2c/%C3%BCbersetzungsauftrag-b2b-landingpage-bundle-produktfinder-r169/" TargetMode="External"/><Relationship Id="rId76" Type="http://schemas.openxmlformats.org/officeDocument/2006/relationships/hyperlink" Target="https://supportnews.info/language-services/kom/testleitf%C3%A4den-r168/" TargetMode="External"/><Relationship Id="rId97" Type="http://schemas.openxmlformats.org/officeDocument/2006/relationships/hyperlink" Target="https://supportnews.info/language-services/d2c/%C3%BCbersetzungsauftrag-neue-awards-und-zitate-r188/" TargetMode="External"/><Relationship Id="rId104" Type="http://schemas.openxmlformats.org/officeDocument/2006/relationships/hyperlink" Target="https://supportnews.info/language-services/kom/%C3%BCbersetzung-ins-uk-englische-video-routerfreiheit-r192/" TargetMode="External"/><Relationship Id="rId120" Type="http://schemas.openxmlformats.org/officeDocument/2006/relationships/hyperlink" Target="https://supportnews.info/language-services/vertrieb/es-%C3%BCbersetzung-business-update-april-r204/" TargetMode="External"/><Relationship Id="rId125" Type="http://schemas.openxmlformats.org/officeDocument/2006/relationships/hyperlink" Target="https://supportnews.info/language-services/kom/testleitf%C3%A4den-2-r205/" TargetMode="External"/><Relationship Id="rId141" Type="http://schemas.openxmlformats.org/officeDocument/2006/relationships/hyperlink" Target="https://supportnews.info/language-services/d2c/%C3%BCbersetzungsauftrag-404-seite-r51/" TargetMode="External"/><Relationship Id="rId146" Type="http://schemas.openxmlformats.org/officeDocument/2006/relationships/hyperlink" Target="https://supportnews.info/language-services/vertrieb/esit-landingpage-digitale-souver%C3%A4nit%C3%A4t-r208/" TargetMode="External"/><Relationship Id="rId7" Type="http://schemas.openxmlformats.org/officeDocument/2006/relationships/hyperlink" Target="https://supportnews.info/language-services/pm/labortexte-kw10-r140/" TargetMode="External"/><Relationship Id="rId71" Type="http://schemas.openxmlformats.org/officeDocument/2006/relationships/hyperlink" Target="https://supportnews.info/language-services/vertrieb/produktank%C3%BCndigung-fritzbox-7630-edition-international-%C3%BCbersetzung-in-en-fr-it-nl-es-pl-r180/" TargetMode="External"/><Relationship Id="rId92" Type="http://schemas.openxmlformats.org/officeDocument/2006/relationships/hyperlink" Target="https://supportnews.info/language-services/d2c/%C3%BCbersetzung-d2c-formular-oster-gewinnspiel-r184/" TargetMode="External"/><Relationship Id="rId162" Type="http://schemas.openxmlformats.org/officeDocument/2006/relationships/vmlDrawing" Target="../drawings/vmlDrawing1.vml"/><Relationship Id="rId2" Type="http://schemas.openxmlformats.org/officeDocument/2006/relationships/hyperlink" Target="https://supportnews.info/language-services/tco/psp-fritzbox-4630-r95/" TargetMode="External"/><Relationship Id="rId29" Type="http://schemas.openxmlformats.org/officeDocument/2006/relationships/hyperlink" Target="https://supportnews.info/language-services/d2c/%C3%BCbersetzung-banner-ostern-spring-deals-r138/" TargetMode="External"/><Relationship Id="rId24" Type="http://schemas.openxmlformats.org/officeDocument/2006/relationships/hyperlink" Target="https://supportnews.info/language-services/d2c/%C3%BCbersetzungsauftrag-pdp-7682-7632-r153/?tab=comments" TargetMode="External"/><Relationship Id="rId40" Type="http://schemas.openxmlformats.org/officeDocument/2006/relationships/hyperlink" Target="https://supportnews.info/language-services/pm/labortexte-kw11-r158/" TargetMode="External"/><Relationship Id="rId45" Type="http://schemas.openxmlformats.org/officeDocument/2006/relationships/hyperlink" Target="https://supportnews.info/language-services/d2c/%C3%BCbersetzung-teilnahmebedingungen-auf-englisch-italienisch-spanisch-und-niederl%C3%A4ndisch-r166/" TargetMode="External"/><Relationship Id="rId66" Type="http://schemas.openxmlformats.org/officeDocument/2006/relationships/hyperlink" Target="https://supportnews.info/language-services/vertrieb/es-%C3%BCbersetzung-business-update-m%C3%A4rz-r178/ES:%20&#220;bersetzung%20Business%20Update%20M&#228;rz" TargetMode="External"/><Relationship Id="rId87" Type="http://schemas.openxmlformats.org/officeDocument/2006/relationships/hyperlink" Target="https://supportnews.info/language-services/d2c/%C3%BCbersetzungsauftrag-amazon-vergleichstabelle-r176/?tab=comments" TargetMode="External"/><Relationship Id="rId110" Type="http://schemas.openxmlformats.org/officeDocument/2006/relationships/hyperlink" Target="https://supportnews.info/language-services/d2c/%C3%BCbersetzungsauftrag-template-der-6860-v2-deutsche-version-und-internationale-version-r194/" TargetMode="External"/><Relationship Id="rId115" Type="http://schemas.openxmlformats.org/officeDocument/2006/relationships/hyperlink" Target="https://supportnews.info/language-services/tco/psp-fritzwlan-stick-6700-r197/" TargetMode="External"/><Relationship Id="rId131" Type="http://schemas.openxmlformats.org/officeDocument/2006/relationships/hyperlink" Target="https://supportnews.info/language-services/d2c/fritzwlan-stick-6700-shopify-r209/" TargetMode="External"/><Relationship Id="rId136" Type="http://schemas.openxmlformats.org/officeDocument/2006/relationships/hyperlink" Target="https://supportnews.info/language-services/d2c/fritzwlan-stick-6700-shopify-r209/" TargetMode="External"/><Relationship Id="rId157" Type="http://schemas.openxmlformats.org/officeDocument/2006/relationships/hyperlink" Target="https://jazz.avm.de/ccm/web/projects/AVM-Entwicklung" TargetMode="External"/><Relationship Id="rId61" Type="http://schemas.openxmlformats.org/officeDocument/2006/relationships/hyperlink" Target="https://supportnews.info/language-services/d2c/%C3%BCbersetzungsauftrag-b2b-landingpage-bundle-produktfinder-r169/" TargetMode="External"/><Relationship Id="rId82" Type="http://schemas.openxmlformats.org/officeDocument/2006/relationships/hyperlink" Target="https://supportnews.info/language-services/pm/labortexte-kw12-r182/" TargetMode="External"/><Relationship Id="rId152" Type="http://schemas.openxmlformats.org/officeDocument/2006/relationships/hyperlink" Target="https://supportnews.info/language-services/kom/%C3%BCbersetzungsauftrag-blog-beitrag-fritz-gl%C3%A4nzt-in-gleich-mehreren-router-tests-r213/" TargetMode="External"/><Relationship Id="rId19" Type="http://schemas.openxmlformats.org/officeDocument/2006/relationships/hyperlink" Target="https://supportnews.info/language-services/kom/pi-fritz-auf-der-light-building-r145/?tab=comments" TargetMode="External"/><Relationship Id="rId14" Type="http://schemas.openxmlformats.org/officeDocument/2006/relationships/hyperlink" Target="https://supportnews.info/language-services/d2c/%C3%BCbersetzung-hinweistext-bei-anmeldung-zum-newsletter-r141/" TargetMode="External"/><Relationship Id="rId30" Type="http://schemas.openxmlformats.org/officeDocument/2006/relationships/hyperlink" Target="https://supportnews.info/language-services/kom/verpackung-repeater-3000-ax-r154/" TargetMode="External"/><Relationship Id="rId35" Type="http://schemas.openxmlformats.org/officeDocument/2006/relationships/hyperlink" Target="https://supportnews.info/language-services/kom/affiliate-plattform-awin-%C3%BCbersetzung-de-es-r156/" TargetMode="External"/><Relationship Id="rId56" Type="http://schemas.openxmlformats.org/officeDocument/2006/relationships/hyperlink" Target="https://supportnews.info/language-services/d2c/%C3%BCbersetzungsauftrag-b2b-landingpage-bundle-produktfinder-r169/" TargetMode="External"/><Relationship Id="rId77" Type="http://schemas.openxmlformats.org/officeDocument/2006/relationships/hyperlink" Target="https://supportnews.info/language-services/kom/testleitf%C3%A4den-r168/" TargetMode="External"/><Relationship Id="rId100" Type="http://schemas.openxmlformats.org/officeDocument/2006/relationships/hyperlink" Target="https://supportnews.info/language-services/d2c/%C3%BCbersetzungsauftrag-neue-awards-und-zitate-r188/" TargetMode="External"/><Relationship Id="rId105" Type="http://schemas.openxmlformats.org/officeDocument/2006/relationships/hyperlink" Target="https://supportnews.info/language-services/vertrieb/nl-award-kieskeurig-r190/?tab=comments" TargetMode="External"/><Relationship Id="rId126" Type="http://schemas.openxmlformats.org/officeDocument/2006/relationships/hyperlink" Target="https://supportnews.info/language-services/vertrieb/atch-lektorat-business-update-april-r199/" TargetMode="External"/><Relationship Id="rId147" Type="http://schemas.openxmlformats.org/officeDocument/2006/relationships/hyperlink" Target="https://supportnews.info/language-services/vertrieb/esit-landingpage-digitale-souver%C3%A4nit%C3%A4t-r208/" TargetMode="External"/><Relationship Id="rId8" Type="http://schemas.openxmlformats.org/officeDocument/2006/relationships/hyperlink" Target="https://supportnews.info/language-services/pm/labortexte-kw10-r140/" TargetMode="External"/><Relationship Id="rId51" Type="http://schemas.openxmlformats.org/officeDocument/2006/relationships/hyperlink" Target="https://supportnews.info/language-services/tco/2-uwg-hinweise-in-forms-app-%C3%BCbersetzen-r173/" TargetMode="External"/><Relationship Id="rId72" Type="http://schemas.openxmlformats.org/officeDocument/2006/relationships/hyperlink" Target="https://supportnews.info/language-services/vertrieb/produktank%C3%BCndigung-fritzbox-7630-edition-international-%C3%BCbersetzung-in-en-fr-it-nl-es-pl-r180/" TargetMode="External"/><Relationship Id="rId93" Type="http://schemas.openxmlformats.org/officeDocument/2006/relationships/hyperlink" Target="https://supportnews.info/language-services/vertrieb/produktank%C3%BCndigung-fritzbox-7630-edition-international-%C3%BCbersetzung-in-en-fr-it-nl-es-pl-r180/" TargetMode="External"/><Relationship Id="rId98" Type="http://schemas.openxmlformats.org/officeDocument/2006/relationships/hyperlink" Target="https://supportnews.info/language-services/d2c/%C3%BCbersetzungsauftrag-neue-awards-und-zitate-r188/" TargetMode="External"/><Relationship Id="rId121" Type="http://schemas.openxmlformats.org/officeDocument/2006/relationships/hyperlink" Target="https://supportnews.info/language-services/vertrieb/nl-landingpage-digitale-souver%C3%A4nit%C3%A4t-r206/" TargetMode="External"/><Relationship Id="rId142" Type="http://schemas.openxmlformats.org/officeDocument/2006/relationships/hyperlink" Target="https://supportnews.info/language-services/d2c/%C3%BCbersetzungsauftrag-404-seite-r51/" TargetMode="External"/><Relationship Id="rId163" Type="http://schemas.openxmlformats.org/officeDocument/2006/relationships/comments" Target="../comments1.xml"/><Relationship Id="rId3" Type="http://schemas.openxmlformats.org/officeDocument/2006/relationships/hyperlink" Target="https://supportnews.info/language-services/tco/psp-fritzbox-4630-r95/" TargetMode="External"/><Relationship Id="rId25" Type="http://schemas.openxmlformats.org/officeDocument/2006/relationships/hyperlink" Target="https://supportnews.info/language-services/d2c/%C3%BCbersetzungsauftrag-pdp-7682-7632-r153/?tab=comments" TargetMode="External"/><Relationship Id="rId46" Type="http://schemas.openxmlformats.org/officeDocument/2006/relationships/hyperlink" Target="https://supportnews.info/language-services/d2c/%C3%BCbersetzung-teilnahmebedingungen-auf-englisch-italienisch-spanisch-und-niederl%C3%A4ndisch-r166/" TargetMode="External"/><Relationship Id="rId67" Type="http://schemas.openxmlformats.org/officeDocument/2006/relationships/hyperlink" Target="https://supportnews.info/language-services/kom/affiliate-plattform-awin-%C3%BCbersetzung-de-es-r156/" TargetMode="External"/><Relationship Id="rId116" Type="http://schemas.openxmlformats.org/officeDocument/2006/relationships/hyperlink" Target="https://supportnews.info/language-services/tco/psp-fritzwlan-stick-6700-r197/" TargetMode="External"/><Relationship Id="rId137" Type="http://schemas.openxmlformats.org/officeDocument/2006/relationships/hyperlink" Target="https://supportnews.info/language-services/tco/psp-fritzbox-6690-pro-5630-5630-xgs-r210/" TargetMode="External"/><Relationship Id="rId158" Type="http://schemas.openxmlformats.org/officeDocument/2006/relationships/hyperlink" Target="https://supportnews.info/language-services/legal/%C3%BCberarbeitung-dse-bewerber-r258/" TargetMode="External"/><Relationship Id="rId20" Type="http://schemas.openxmlformats.org/officeDocument/2006/relationships/hyperlink" Target="https://supportnews.info/language-services/d2c/%C3%BCbersetzungsauftrag-pdp-7682-7632-r153/?tab=comments" TargetMode="External"/><Relationship Id="rId41" Type="http://schemas.openxmlformats.org/officeDocument/2006/relationships/hyperlink" Target="https://supportnews.info/language-services/pm/labortexte-kw11-r158/" TargetMode="External"/><Relationship Id="rId62" Type="http://schemas.openxmlformats.org/officeDocument/2006/relationships/hyperlink" Target="https://supportnews.info/language-services/d2c/%C3%BCbersetzungsauftrag-b2b-landingpage-bundle-produktfinder-r169/" TargetMode="External"/><Relationship Id="rId83" Type="http://schemas.openxmlformats.org/officeDocument/2006/relationships/hyperlink" Target="https://supportnews.info/language-services/d2c/%C3%BCbersetzungsauftrag-amazon-vergleichstabelle-r176/?tab=comments" TargetMode="External"/><Relationship Id="rId88" Type="http://schemas.openxmlformats.org/officeDocument/2006/relationships/hyperlink" Target="https://supportnews.info/language-services/d2c/%C3%BCbersetzungsauftrag-amazon-vergleichstabelle-r176/?tab=comments" TargetMode="External"/><Relationship Id="rId111" Type="http://schemas.openxmlformats.org/officeDocument/2006/relationships/hyperlink" Target="https://supportnews.info/language-services/pm/labortexte-kw13-r195/" TargetMode="External"/><Relationship Id="rId132" Type="http://schemas.openxmlformats.org/officeDocument/2006/relationships/hyperlink" Target="https://supportnews.info/language-services/d2c/fritzwlan-stick-6700-shopify-r209/" TargetMode="External"/><Relationship Id="rId153" Type="http://schemas.openxmlformats.org/officeDocument/2006/relationships/hyperlink" Target="https://supportnews.info/language-services/kom/%C3%BCbersetzungsauftrag-blog-beitrag-fritz-gl%C3%A4nzt-in-gleich-mehreren-router-tests-r213/" TargetMode="External"/><Relationship Id="rId15" Type="http://schemas.openxmlformats.org/officeDocument/2006/relationships/hyperlink" Target="https://supportnews.info/language-services/d2c/%C3%BCbersetzung-hinweistext-bei-anmeldung-zum-newsletter-r141/" TargetMode="External"/><Relationship Id="rId36" Type="http://schemas.openxmlformats.org/officeDocument/2006/relationships/hyperlink" Target="https://supportnews.info/language-services/kom/affiliate-plattform-awin-%C3%BCbersetzung-de-es-r156/" TargetMode="External"/><Relationship Id="rId57" Type="http://schemas.openxmlformats.org/officeDocument/2006/relationships/hyperlink" Target="https://supportnews.info/language-services/d2c/%C3%BCbersetzungsauftrag-b2b-landingpage-bundle-produktfinder-r169/" TargetMode="External"/><Relationship Id="rId106" Type="http://schemas.openxmlformats.org/officeDocument/2006/relationships/hyperlink" Target="https://supportnews.info/language-services/d2c/%C3%BCbersetzungsauftrag-template-der-6860-v2-deutsche-version-und-internationale-version-r194/" TargetMode="External"/><Relationship Id="rId127" Type="http://schemas.openxmlformats.org/officeDocument/2006/relationships/hyperlink" Target="https://supportnews.info/language-services/vertrieb/atch-lektorat-business-update-april-r199/" TargetMode="External"/><Relationship Id="rId10" Type="http://schemas.openxmlformats.org/officeDocument/2006/relationships/hyperlink" Target="https://supportnews.info/language-services/d2c/%C3%BCbersetzung-neue-hinweise-in-e-mail-footer-r144/" TargetMode="External"/><Relationship Id="rId31" Type="http://schemas.openxmlformats.org/officeDocument/2006/relationships/hyperlink" Target="https://supportnews.info/language-services/kom/verpackung-repeater-3000-ax-r154/" TargetMode="External"/><Relationship Id="rId52" Type="http://schemas.openxmlformats.org/officeDocument/2006/relationships/hyperlink" Target="https://supportnews.info/language-services/tco/2-uwg-hinweise-in-forms-app-%C3%BCbersetzen-r173/" TargetMode="External"/><Relationship Id="rId73" Type="http://schemas.openxmlformats.org/officeDocument/2006/relationships/hyperlink" Target="https://supportnews.info/language-services/vertrieb/produktank%C3%BCndigung-fritzbox-7630-edition-international-%C3%BCbersetzung-in-en-fr-it-nl-es-pl-r180/" TargetMode="External"/><Relationship Id="rId78" Type="http://schemas.openxmlformats.org/officeDocument/2006/relationships/hyperlink" Target="https://supportnews.info/language-services/vertrieb/itesnl-%C3%BCbersetzung-mwc-2026-r170/" TargetMode="External"/><Relationship Id="rId94" Type="http://schemas.openxmlformats.org/officeDocument/2006/relationships/hyperlink" Target="https://supportnews.info/language-services/vertrieb/nl-award-kieskeurig-r190/?tab=comments" TargetMode="External"/><Relationship Id="rId99" Type="http://schemas.openxmlformats.org/officeDocument/2006/relationships/hyperlink" Target="https://supportnews.info/language-services/d2c/%C3%BCbersetzungsauftrag-neue-awards-und-zitate-r188/" TargetMode="External"/><Relationship Id="rId101" Type="http://schemas.openxmlformats.org/officeDocument/2006/relationships/hyperlink" Target="https://supportnews.info/language-services/d2c/%C3%BCbersetzungsauftrag-neue-awards-und-zitate-r188/" TargetMode="External"/><Relationship Id="rId122" Type="http://schemas.openxmlformats.org/officeDocument/2006/relationships/hyperlink" Target="https://supportnews.info/language-services/kom/testleitf%C3%A4den-2-r205/" TargetMode="External"/><Relationship Id="rId143" Type="http://schemas.openxmlformats.org/officeDocument/2006/relationships/hyperlink" Target="https://supportnews.info/language-services/d2c/%C3%BCbersetzungsauftrag-404-seite-r51/" TargetMode="External"/><Relationship Id="rId148" Type="http://schemas.openxmlformats.org/officeDocument/2006/relationships/hyperlink" Target="https://supportnews.info/language-services/d2c/%C3%BCbersetzungsauftrag-5690-pro-banner-r214/" TargetMode="External"/><Relationship Id="rId4" Type="http://schemas.openxmlformats.org/officeDocument/2006/relationships/hyperlink" Target="https://supportnews.info/language-services/tco/psp-fritzbox-4630-r95/" TargetMode="External"/><Relationship Id="rId9" Type="http://schemas.openxmlformats.org/officeDocument/2006/relationships/hyperlink" Target="https://supportnews.info/language-services/d2c/%C3%BCbersetzung-neue-hinweise-in-e-mail-footer-r144/" TargetMode="External"/><Relationship Id="rId26" Type="http://schemas.openxmlformats.org/officeDocument/2006/relationships/hyperlink" Target="https://supportnews.info/language-services/d2c/%C3%BCbersetzungsauftrag-pdp-7682-7632-r153/?tab=comments" TargetMode="External"/><Relationship Id="rId47" Type="http://schemas.openxmlformats.org/officeDocument/2006/relationships/hyperlink" Target="https://supportnews.info/language-services/d2c/%C3%BCbersetzung-teilnahmebedingungen-auf-englisch-italienisch-spanisch-und-niederl%C3%A4ndisch-r166/" TargetMode="External"/><Relationship Id="rId68" Type="http://schemas.openxmlformats.org/officeDocument/2006/relationships/hyperlink" Target="https://supportnews.info/language-services/kom/affiliate-plattform-awin-%C3%BCbersetzung-de-es-r156/" TargetMode="External"/><Relationship Id="rId89" Type="http://schemas.openxmlformats.org/officeDocument/2006/relationships/hyperlink" Target="https://supportnews.info/language-services/d2c/%C3%BCbersetzung-newsletter-osterangebote-r181/" TargetMode="External"/><Relationship Id="rId112" Type="http://schemas.openxmlformats.org/officeDocument/2006/relationships/hyperlink" Target="file:///\\ads.avm.de\files\Doku\International\FTTH%202026_de.docx" TargetMode="External"/><Relationship Id="rId133" Type="http://schemas.openxmlformats.org/officeDocument/2006/relationships/hyperlink" Target="https://supportnews.info/language-services/d2c/fritzwlan-stick-6700-shopify-r209/" TargetMode="External"/><Relationship Id="rId154" Type="http://schemas.openxmlformats.org/officeDocument/2006/relationships/hyperlink" Target="https://supportnews.info/language-services/kom/%C3%BCbersetzungsauftrag-blog-beitrag-fritz-gl%C3%A4nzt-in-gleich-mehreren-router-tests-r213/" TargetMode="External"/><Relationship Id="rId16" Type="http://schemas.openxmlformats.org/officeDocument/2006/relationships/hyperlink" Target="https://supportnews.info/language-services/d2c/b2b-produktberater-und-teasertext-f%C3%BCr-startseite-r151/" TargetMode="External"/><Relationship Id="rId37" Type="http://schemas.openxmlformats.org/officeDocument/2006/relationships/hyperlink" Target="https://supportnews.info/language-services/kom/affiliate-plattform-awin-%C3%BCbersetzung-de-es-r156/" TargetMode="External"/><Relationship Id="rId58" Type="http://schemas.openxmlformats.org/officeDocument/2006/relationships/hyperlink" Target="https://supportnews.info/language-services/d2c/%C3%BCbersetzungsauftrag-b2b-landingpage-bundle-produktfinder-r169/" TargetMode="External"/><Relationship Id="rId79" Type="http://schemas.openxmlformats.org/officeDocument/2006/relationships/hyperlink" Target="https://supportnews.info/language-services/vertrieb/itesnl-%C3%BCbersetzung-mwc-2026-r170/" TargetMode="External"/><Relationship Id="rId102" Type="http://schemas.openxmlformats.org/officeDocument/2006/relationships/hyperlink" Target="https://supportnews.info/language-services/kom/kurzfristige-spotlight-umfrage-de-en-r191/?tab=comments" TargetMode="External"/><Relationship Id="rId123" Type="http://schemas.openxmlformats.org/officeDocument/2006/relationships/hyperlink" Target="https://supportnews.info/language-services/kom/testleitf%C3%A4den-2-r205/" TargetMode="External"/><Relationship Id="rId144" Type="http://schemas.openxmlformats.org/officeDocument/2006/relationships/hyperlink" Target="https://supportnews.info/language-services/tco/frage-zum-fritz-shop-%C3%BCbersetzen-r200/" TargetMode="External"/><Relationship Id="rId90" Type="http://schemas.openxmlformats.org/officeDocument/2006/relationships/hyperlink" Target="https://supportnews.info/language-services/d2c/%C3%BCbersetzung-d2c-formular-oster-gewinnspiel-r184/" TargetMode="External"/><Relationship Id="rId27" Type="http://schemas.openxmlformats.org/officeDocument/2006/relationships/hyperlink" Target="https://supportnews.info/language-services/d2c/%C3%BCbersetzungsauftrag-pdp-7682-7632-r153/?tab=comments" TargetMode="External"/><Relationship Id="rId48" Type="http://schemas.openxmlformats.org/officeDocument/2006/relationships/hyperlink" Target="https://supportnews.info/language-services/d2c/%C3%BCbersetzungsauftrag-versand-timeline-service-box-r174/?tab=comments" TargetMode="External"/><Relationship Id="rId69" Type="http://schemas.openxmlformats.org/officeDocument/2006/relationships/hyperlink" Target="https://supportnews.info/language-services/kom/affiliate-plattform-awin-%C3%BCbersetzung-de-es-r156/" TargetMode="External"/><Relationship Id="rId113" Type="http://schemas.openxmlformats.org/officeDocument/2006/relationships/hyperlink" Target="file:///\\ads.avm.de\files\Doku\International\FTTH%202026_de.docx" TargetMode="External"/><Relationship Id="rId134" Type="http://schemas.openxmlformats.org/officeDocument/2006/relationships/hyperlink" Target="https://supportnews.info/language-services/d2c/fritzwlan-stick-6700-shopify-r209/" TargetMode="External"/><Relationship Id="rId80" Type="http://schemas.openxmlformats.org/officeDocument/2006/relationships/hyperlink" Target="https://supportnews.info/language-services/vertrieb/itesnl-%C3%BCbersetzung-mwc-2026-r170/" TargetMode="External"/><Relationship Id="rId155" Type="http://schemas.openxmlformats.org/officeDocument/2006/relationships/hyperlink" Target="https://supportnews.info/language-services/vertrieb/de-lektorat-business-update-de-m%C3%A4rz-2-r16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5B94F-BEA6-4D97-947C-A456601DB74C}">
  <dimension ref="A1:V1214"/>
  <sheetViews>
    <sheetView tabSelected="1" workbookViewId="0">
      <pane ySplit="1" topLeftCell="A2" activePane="bottomLeft" state="frozen"/>
      <selection pane="bottomLeft" sqref="A1:XFD1"/>
    </sheetView>
  </sheetViews>
  <sheetFormatPr baseColWidth="10" defaultRowHeight="15" x14ac:dyDescent="0.25"/>
  <cols>
    <col min="1" max="1" width="12.7109375" customWidth="1"/>
    <col min="2" max="2" width="47.28515625" customWidth="1"/>
    <col min="3" max="3" width="14.42578125" customWidth="1"/>
    <col min="4" max="4" width="32.42578125" customWidth="1"/>
    <col min="5" max="5" width="12.28515625" customWidth="1"/>
    <col min="13" max="13" width="12.42578125" customWidth="1"/>
    <col min="14" max="14" width="13.140625" customWidth="1"/>
    <col min="15" max="16" width="12.5703125" customWidth="1"/>
    <col min="18" max="19" width="14.7109375" customWidth="1"/>
    <col min="22" max="22" width="13.7109375" customWidth="1"/>
  </cols>
  <sheetData>
    <row r="1" spans="1:22" s="4" customFormat="1" ht="33.75" customHeight="1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921</v>
      </c>
      <c r="H1" s="19" t="s">
        <v>920</v>
      </c>
      <c r="I1" s="4" t="s">
        <v>922</v>
      </c>
      <c r="J1" s="19" t="s">
        <v>6</v>
      </c>
      <c r="K1" s="19" t="s">
        <v>15</v>
      </c>
      <c r="L1" s="19" t="s">
        <v>7</v>
      </c>
      <c r="M1" s="19" t="s">
        <v>9</v>
      </c>
      <c r="N1" s="19" t="s">
        <v>10</v>
      </c>
      <c r="O1" s="19" t="s">
        <v>8</v>
      </c>
      <c r="P1" s="19" t="s">
        <v>883</v>
      </c>
      <c r="Q1" s="19" t="s">
        <v>11</v>
      </c>
      <c r="R1" s="19" t="s">
        <v>12</v>
      </c>
      <c r="S1" s="19" t="s">
        <v>16</v>
      </c>
      <c r="T1" s="19" t="s">
        <v>13</v>
      </c>
      <c r="U1" s="19" t="s">
        <v>14</v>
      </c>
      <c r="V1" s="19" t="s">
        <v>17</v>
      </c>
    </row>
    <row r="2" spans="1:22" x14ac:dyDescent="0.25">
      <c r="B2" t="s">
        <v>539</v>
      </c>
      <c r="C2" t="s">
        <v>457</v>
      </c>
      <c r="D2" t="str">
        <f>IF(_xlfn.XLOOKUP(C2, ABZ!A:A, ABZ!B:B, "", 0) = 0, "", _xlfn.XLOOKUP(C2, ABZ!A:A, ABZ!B:B, "", 0))</f>
        <v>VTR-CS-SER-PartnerCommunication</v>
      </c>
      <c r="E2" t="s">
        <v>834</v>
      </c>
      <c r="F2" t="s">
        <v>527</v>
      </c>
      <c r="G2">
        <v>68</v>
      </c>
      <c r="I2">
        <f>IF(AND(O2&lt;&gt;"",L2&lt;&gt;""),IF((O2-L2)&lt;=2,1,0),0)</f>
        <v>0</v>
      </c>
      <c r="L2" s="9">
        <v>46027</v>
      </c>
      <c r="M2" s="9">
        <v>46031</v>
      </c>
      <c r="N2" s="18">
        <f ca="1">IF(M2&lt;&gt;"",M2-L2,TODAY()-L2)</f>
        <v>4</v>
      </c>
      <c r="O2" s="9">
        <v>46035</v>
      </c>
      <c r="P2" s="9" t="str">
        <f>IF(M2="","⏳ Offen",IF(M2&lt;=O2,"✅ Ja","❌ Nein"))</f>
        <v>✅ Ja</v>
      </c>
      <c r="Q2" t="s">
        <v>836</v>
      </c>
      <c r="S2" t="s">
        <v>840</v>
      </c>
      <c r="T2" t="s">
        <v>540</v>
      </c>
      <c r="U2" t="s">
        <v>541</v>
      </c>
    </row>
    <row r="3" spans="1:22" x14ac:dyDescent="0.25">
      <c r="B3" t="s">
        <v>18</v>
      </c>
      <c r="C3" t="s">
        <v>458</v>
      </c>
      <c r="D3" t="str">
        <f>IF(_xlfn.XLOOKUP(C3, ABZ!A:A, ABZ!B:B, "", 0) = 0, "", _xlfn.XLOOKUP(C3, ABZ!A:A, ABZ!B:B, "", 0))</f>
        <v>VTR-CS-SER-PartnerCommunication</v>
      </c>
      <c r="E3" t="s">
        <v>834</v>
      </c>
      <c r="F3" t="s">
        <v>528</v>
      </c>
      <c r="I3">
        <f t="shared" ref="I3:I66" si="0">IF(AND(O3&lt;&gt;"",L3&lt;&gt;""),IF((O3-L3)&lt;=2,1,0),0)</f>
        <v>0</v>
      </c>
      <c r="L3" s="9">
        <v>46027</v>
      </c>
      <c r="M3" s="9">
        <v>46034</v>
      </c>
      <c r="N3" s="18">
        <f t="shared" ref="N3:N66" ca="1" si="1">IF(M3&lt;&gt;"",M3-L3,TODAY()-L3)</f>
        <v>7</v>
      </c>
      <c r="O3" s="9">
        <v>46034</v>
      </c>
      <c r="P3" s="9" t="str">
        <f t="shared" ref="P3:P66" si="2">IF(M3="","⏳ Offen",IF(M3&lt;=O3,"✅ Ja","❌ Nein"))</f>
        <v>✅ Ja</v>
      </c>
      <c r="Q3" t="s">
        <v>847</v>
      </c>
      <c r="R3" t="s">
        <v>841</v>
      </c>
      <c r="S3" t="s">
        <v>840</v>
      </c>
      <c r="T3" t="s">
        <v>540</v>
      </c>
      <c r="U3" t="s">
        <v>541</v>
      </c>
    </row>
    <row r="4" spans="1:22" x14ac:dyDescent="0.25">
      <c r="B4" t="s">
        <v>19</v>
      </c>
      <c r="C4" t="s">
        <v>459</v>
      </c>
      <c r="D4" t="str">
        <f>IF(_xlfn.XLOOKUP(C4, ABZ!A:A, ABZ!B:B, "", 0) = 0, "", _xlfn.XLOOKUP(C4, ABZ!A:A, ABZ!B:B, "", 0))</f>
        <v>ENT-PM-International</v>
      </c>
      <c r="E4" t="s">
        <v>834</v>
      </c>
      <c r="F4" t="s">
        <v>529</v>
      </c>
      <c r="I4">
        <f t="shared" si="0"/>
        <v>1</v>
      </c>
      <c r="L4" s="9">
        <v>46027</v>
      </c>
      <c r="M4" s="9">
        <v>46028</v>
      </c>
      <c r="N4" s="18">
        <f t="shared" ca="1" si="1"/>
        <v>1</v>
      </c>
      <c r="O4" s="9">
        <v>46028</v>
      </c>
      <c r="P4" s="9" t="str">
        <f t="shared" si="2"/>
        <v>✅ Ja</v>
      </c>
      <c r="Q4" t="s">
        <v>837</v>
      </c>
      <c r="S4" t="s">
        <v>840</v>
      </c>
      <c r="T4" t="s">
        <v>540</v>
      </c>
      <c r="U4" t="s">
        <v>541</v>
      </c>
    </row>
    <row r="5" spans="1:22" x14ac:dyDescent="0.25">
      <c r="B5" t="s">
        <v>19</v>
      </c>
      <c r="C5" t="s">
        <v>459</v>
      </c>
      <c r="D5" t="str">
        <f>IF(_xlfn.XLOOKUP(C5, ABZ!A:A, ABZ!B:B, "", 0) = 0, "", _xlfn.XLOOKUP(C5, ABZ!A:A, ABZ!B:B, "", 0))</f>
        <v>ENT-PM-International</v>
      </c>
      <c r="E5" t="s">
        <v>834</v>
      </c>
      <c r="F5" t="s">
        <v>528</v>
      </c>
      <c r="I5">
        <f t="shared" si="0"/>
        <v>1</v>
      </c>
      <c r="L5" s="9">
        <v>46027</v>
      </c>
      <c r="M5" s="9">
        <v>46029</v>
      </c>
      <c r="N5" s="18">
        <f t="shared" ca="1" si="1"/>
        <v>2</v>
      </c>
      <c r="O5" s="9">
        <v>46028</v>
      </c>
      <c r="P5" s="9" t="str">
        <f t="shared" si="2"/>
        <v>❌ Nein</v>
      </c>
      <c r="Q5" t="s">
        <v>849</v>
      </c>
      <c r="R5" t="s">
        <v>841</v>
      </c>
      <c r="S5" t="s">
        <v>840</v>
      </c>
      <c r="T5" t="s">
        <v>540</v>
      </c>
      <c r="U5" t="s">
        <v>541</v>
      </c>
    </row>
    <row r="6" spans="1:22" x14ac:dyDescent="0.25">
      <c r="B6" t="s">
        <v>19</v>
      </c>
      <c r="C6" t="s">
        <v>459</v>
      </c>
      <c r="D6" t="str">
        <f>IF(_xlfn.XLOOKUP(C6, ABZ!A:A, ABZ!B:B, "", 0) = 0, "", _xlfn.XLOOKUP(C6, ABZ!A:A, ABZ!B:B, "", 0))</f>
        <v>ENT-PM-International</v>
      </c>
      <c r="E6" t="s">
        <v>834</v>
      </c>
      <c r="F6" t="s">
        <v>527</v>
      </c>
      <c r="I6">
        <f t="shared" si="0"/>
        <v>1</v>
      </c>
      <c r="L6" s="9">
        <v>46027</v>
      </c>
      <c r="M6" s="9">
        <v>46029</v>
      </c>
      <c r="N6" s="18">
        <f t="shared" ca="1" si="1"/>
        <v>2</v>
      </c>
      <c r="O6" s="9">
        <v>46028</v>
      </c>
      <c r="P6" s="9" t="str">
        <f t="shared" si="2"/>
        <v>❌ Nein</v>
      </c>
      <c r="Q6" t="s">
        <v>850</v>
      </c>
      <c r="R6" t="s">
        <v>836</v>
      </c>
      <c r="S6" t="s">
        <v>840</v>
      </c>
      <c r="T6" t="s">
        <v>540</v>
      </c>
      <c r="U6" t="s">
        <v>541</v>
      </c>
    </row>
    <row r="7" spans="1:22" x14ac:dyDescent="0.25">
      <c r="B7" t="s">
        <v>20</v>
      </c>
      <c r="C7" t="s">
        <v>460</v>
      </c>
      <c r="D7" t="str">
        <f>IF(_xlfn.XLOOKUP(C7, ABZ!A:A, ABZ!B:B, "", 0) = 0, "", _xlfn.XLOOKUP(C7, ABZ!A:A, ABZ!B:B, "", 0))</f>
        <v>ENT-PM-F-OS</v>
      </c>
      <c r="E7" t="s">
        <v>835</v>
      </c>
      <c r="F7" t="s">
        <v>532</v>
      </c>
      <c r="H7">
        <v>2</v>
      </c>
      <c r="I7">
        <f t="shared" si="0"/>
        <v>1</v>
      </c>
      <c r="L7" s="9">
        <v>46027</v>
      </c>
      <c r="M7" s="9">
        <v>46027</v>
      </c>
      <c r="N7" s="18">
        <f t="shared" ca="1" si="1"/>
        <v>0</v>
      </c>
      <c r="O7" s="9">
        <v>46027</v>
      </c>
      <c r="P7" s="9" t="str">
        <f t="shared" si="2"/>
        <v>✅ Ja</v>
      </c>
      <c r="Q7" t="s">
        <v>838</v>
      </c>
      <c r="S7" t="s">
        <v>838</v>
      </c>
      <c r="T7" t="s">
        <v>540</v>
      </c>
      <c r="U7" t="s">
        <v>542</v>
      </c>
    </row>
    <row r="8" spans="1:22" x14ac:dyDescent="0.25">
      <c r="B8" t="s">
        <v>21</v>
      </c>
      <c r="C8" t="s">
        <v>460</v>
      </c>
      <c r="D8" t="str">
        <f>IF(_xlfn.XLOOKUP(C8, ABZ!A:A, ABZ!B:B, "", 0) = 0, "", _xlfn.XLOOKUP(C8, ABZ!A:A, ABZ!B:B, "", 0))</f>
        <v>ENT-PM-F-OS</v>
      </c>
      <c r="E8" t="s">
        <v>834</v>
      </c>
      <c r="F8" t="s">
        <v>529</v>
      </c>
      <c r="I8">
        <f t="shared" si="0"/>
        <v>1</v>
      </c>
      <c r="L8" s="9">
        <v>46027</v>
      </c>
      <c r="M8" s="9">
        <v>46027</v>
      </c>
      <c r="N8" s="18">
        <f t="shared" ca="1" si="1"/>
        <v>0</v>
      </c>
      <c r="O8" s="9">
        <v>46027</v>
      </c>
      <c r="P8" s="9" t="str">
        <f t="shared" si="2"/>
        <v>✅ Ja</v>
      </c>
      <c r="Q8" t="s">
        <v>837</v>
      </c>
      <c r="S8" t="s">
        <v>838</v>
      </c>
      <c r="T8" t="s">
        <v>540</v>
      </c>
      <c r="U8" t="s">
        <v>542</v>
      </c>
    </row>
    <row r="9" spans="1:22" x14ac:dyDescent="0.25">
      <c r="B9" t="s">
        <v>22</v>
      </c>
      <c r="C9" t="s">
        <v>458</v>
      </c>
      <c r="D9" t="str">
        <f>IF(_xlfn.XLOOKUP(C9, ABZ!A:A, ABZ!B:B, "", 0) = 0, "", _xlfn.XLOOKUP(C9, ABZ!A:A, ABZ!B:B, "", 0))</f>
        <v>VTR-CS-SER-PartnerCommunication</v>
      </c>
      <c r="E9" t="s">
        <v>834</v>
      </c>
      <c r="F9" t="s">
        <v>528</v>
      </c>
      <c r="I9">
        <f t="shared" si="0"/>
        <v>0</v>
      </c>
      <c r="L9" s="9">
        <v>46028</v>
      </c>
      <c r="M9" s="9">
        <v>46038</v>
      </c>
      <c r="N9" s="18">
        <f t="shared" ca="1" si="1"/>
        <v>10</v>
      </c>
      <c r="O9" s="9">
        <v>46037</v>
      </c>
      <c r="P9" s="9" t="str">
        <f t="shared" si="2"/>
        <v>❌ Nein</v>
      </c>
      <c r="Q9" t="s">
        <v>849</v>
      </c>
      <c r="R9" t="s">
        <v>841</v>
      </c>
      <c r="S9" t="s">
        <v>839</v>
      </c>
      <c r="T9" t="s">
        <v>540</v>
      </c>
      <c r="U9" t="s">
        <v>541</v>
      </c>
    </row>
    <row r="10" spans="1:22" x14ac:dyDescent="0.25">
      <c r="B10" t="s">
        <v>23</v>
      </c>
      <c r="C10" t="s">
        <v>458</v>
      </c>
      <c r="D10" t="str">
        <f>IF(_xlfn.XLOOKUP(C10, ABZ!A:A, ABZ!B:B, "", 0) = 0, "", _xlfn.XLOOKUP(C10, ABZ!A:A, ABZ!B:B, "", 0))</f>
        <v>VTR-CS-SER-PartnerCommunication</v>
      </c>
      <c r="E10" t="s">
        <v>834</v>
      </c>
      <c r="F10" t="s">
        <v>530</v>
      </c>
      <c r="G10">
        <v>125</v>
      </c>
      <c r="I10">
        <f t="shared" si="0"/>
        <v>0</v>
      </c>
      <c r="L10" s="9">
        <v>46028</v>
      </c>
      <c r="M10" s="9">
        <v>46038</v>
      </c>
      <c r="N10" s="18">
        <f t="shared" ca="1" si="1"/>
        <v>10</v>
      </c>
      <c r="O10" s="9">
        <v>46037</v>
      </c>
      <c r="P10" s="9" t="str">
        <f t="shared" si="2"/>
        <v>❌ Nein</v>
      </c>
      <c r="Q10" t="s">
        <v>844</v>
      </c>
      <c r="R10" t="s">
        <v>839</v>
      </c>
      <c r="S10" t="s">
        <v>839</v>
      </c>
      <c r="T10" t="s">
        <v>540</v>
      </c>
      <c r="U10" t="s">
        <v>541</v>
      </c>
    </row>
    <row r="11" spans="1:22" x14ac:dyDescent="0.25">
      <c r="B11" t="s">
        <v>24</v>
      </c>
      <c r="C11" t="s">
        <v>461</v>
      </c>
      <c r="D11" t="str">
        <f>IF(_xlfn.XLOOKUP(C11, ABZ!A:A, ABZ!B:B, "", 0) = 0, "", _xlfn.XLOOKUP(C11, ABZ!A:A, ABZ!B:B, "", 0))</f>
        <v>D2C-MarketingContent</v>
      </c>
      <c r="E11" t="s">
        <v>834</v>
      </c>
      <c r="F11" t="s">
        <v>529</v>
      </c>
      <c r="I11">
        <f t="shared" si="0"/>
        <v>0</v>
      </c>
      <c r="L11" s="9">
        <v>46028</v>
      </c>
      <c r="M11" s="9">
        <v>46030</v>
      </c>
      <c r="N11" s="18">
        <f t="shared" ca="1" si="1"/>
        <v>2</v>
      </c>
      <c r="O11" s="9">
        <v>46034</v>
      </c>
      <c r="P11" s="9" t="str">
        <f t="shared" si="2"/>
        <v>✅ Ja</v>
      </c>
      <c r="Q11" t="s">
        <v>837</v>
      </c>
      <c r="S11" t="s">
        <v>841</v>
      </c>
      <c r="T11" t="s">
        <v>540</v>
      </c>
      <c r="U11" t="s">
        <v>543</v>
      </c>
    </row>
    <row r="12" spans="1:22" x14ac:dyDescent="0.25">
      <c r="B12" t="s">
        <v>24</v>
      </c>
      <c r="C12" t="s">
        <v>461</v>
      </c>
      <c r="D12" t="str">
        <f>IF(_xlfn.XLOOKUP(C12, ABZ!A:A, ABZ!B:B, "", 0) = 0, "", _xlfn.XLOOKUP(C12, ABZ!A:A, ABZ!B:B, "", 0))</f>
        <v>D2C-MarketingContent</v>
      </c>
      <c r="E12" t="s">
        <v>834</v>
      </c>
      <c r="F12" t="s">
        <v>530</v>
      </c>
      <c r="I12">
        <f t="shared" si="0"/>
        <v>0</v>
      </c>
      <c r="L12" s="9">
        <v>46028</v>
      </c>
      <c r="M12" s="9">
        <v>46029</v>
      </c>
      <c r="N12" s="18">
        <f t="shared" ca="1" si="1"/>
        <v>1</v>
      </c>
      <c r="O12" s="9">
        <v>46034</v>
      </c>
      <c r="P12" s="9" t="str">
        <f t="shared" si="2"/>
        <v>✅ Ja</v>
      </c>
      <c r="Q12" t="s">
        <v>839</v>
      </c>
      <c r="S12" t="s">
        <v>841</v>
      </c>
      <c r="T12" t="s">
        <v>540</v>
      </c>
      <c r="U12" t="s">
        <v>543</v>
      </c>
    </row>
    <row r="13" spans="1:22" x14ac:dyDescent="0.25">
      <c r="B13" t="s">
        <v>24</v>
      </c>
      <c r="C13" t="s">
        <v>461</v>
      </c>
      <c r="D13" t="str">
        <f>IF(_xlfn.XLOOKUP(C13, ABZ!A:A, ABZ!B:B, "", 0) = 0, "", _xlfn.XLOOKUP(C13, ABZ!A:A, ABZ!B:B, "", 0))</f>
        <v>D2C-MarketingContent</v>
      </c>
      <c r="E13" t="s">
        <v>834</v>
      </c>
      <c r="F13" t="s">
        <v>531</v>
      </c>
      <c r="I13">
        <f t="shared" si="0"/>
        <v>0</v>
      </c>
      <c r="L13" s="9">
        <v>46028</v>
      </c>
      <c r="M13" s="9">
        <v>46030</v>
      </c>
      <c r="N13" s="18">
        <f t="shared" ca="1" si="1"/>
        <v>2</v>
      </c>
      <c r="O13" s="9">
        <v>46034</v>
      </c>
      <c r="P13" s="9" t="str">
        <f t="shared" si="2"/>
        <v>✅ Ja</v>
      </c>
      <c r="Q13" t="s">
        <v>840</v>
      </c>
      <c r="S13" t="s">
        <v>841</v>
      </c>
      <c r="T13" t="s">
        <v>540</v>
      </c>
      <c r="U13" t="s">
        <v>543</v>
      </c>
    </row>
    <row r="14" spans="1:22" x14ac:dyDescent="0.25">
      <c r="B14" s="1" t="s">
        <v>24</v>
      </c>
      <c r="C14" s="1" t="s">
        <v>461</v>
      </c>
      <c r="D14" t="str">
        <f>IF(_xlfn.XLOOKUP(C14, ABZ!A:A, ABZ!B:B, "", 0) = 0, "", _xlfn.XLOOKUP(C14, ABZ!A:A, ABZ!B:B, "", 0))</f>
        <v>D2C-MarketingContent</v>
      </c>
      <c r="E14" t="s">
        <v>834</v>
      </c>
      <c r="F14" t="s">
        <v>528</v>
      </c>
      <c r="I14">
        <f t="shared" si="0"/>
        <v>0</v>
      </c>
      <c r="K14" s="1"/>
      <c r="L14" s="10">
        <v>46028</v>
      </c>
      <c r="M14" s="10">
        <v>46030</v>
      </c>
      <c r="N14" s="18">
        <f t="shared" ca="1" si="1"/>
        <v>2</v>
      </c>
      <c r="O14" s="10">
        <v>46034</v>
      </c>
      <c r="P14" s="9" t="str">
        <f t="shared" si="2"/>
        <v>✅ Ja</v>
      </c>
      <c r="Q14" s="1" t="s">
        <v>841</v>
      </c>
      <c r="S14" t="s">
        <v>841</v>
      </c>
      <c r="T14" t="s">
        <v>540</v>
      </c>
      <c r="U14" s="1" t="s">
        <v>543</v>
      </c>
    </row>
    <row r="15" spans="1:22" x14ac:dyDescent="0.25">
      <c r="B15" t="s">
        <v>24</v>
      </c>
      <c r="C15" t="s">
        <v>461</v>
      </c>
      <c r="D15" t="str">
        <f>IF(_xlfn.XLOOKUP(C15, ABZ!A:A, ABZ!B:B, "", 0) = 0, "", _xlfn.XLOOKUP(C15, ABZ!A:A, ABZ!B:B, "", 0))</f>
        <v>D2C-MarketingContent</v>
      </c>
      <c r="E15" t="s">
        <v>834</v>
      </c>
      <c r="F15" t="s">
        <v>527</v>
      </c>
      <c r="I15">
        <f t="shared" si="0"/>
        <v>0</v>
      </c>
      <c r="L15" s="9">
        <v>46028</v>
      </c>
      <c r="M15" s="9">
        <v>46030</v>
      </c>
      <c r="N15" s="18">
        <f t="shared" ca="1" si="1"/>
        <v>2</v>
      </c>
      <c r="O15" s="9">
        <v>46034</v>
      </c>
      <c r="P15" s="9" t="str">
        <f t="shared" si="2"/>
        <v>✅ Ja</v>
      </c>
      <c r="Q15" t="s">
        <v>836</v>
      </c>
      <c r="S15" t="s">
        <v>841</v>
      </c>
      <c r="T15" t="s">
        <v>540</v>
      </c>
      <c r="U15" t="s">
        <v>543</v>
      </c>
    </row>
    <row r="16" spans="1:22" x14ac:dyDescent="0.25">
      <c r="B16" t="s">
        <v>25</v>
      </c>
      <c r="C16" t="s">
        <v>462</v>
      </c>
      <c r="D16" t="str">
        <f>IF(_xlfn.XLOOKUP(C16, ABZ!A:A, ABZ!B:B, "", 0) = 0, "", _xlfn.XLOOKUP(C16, ABZ!A:A, ABZ!B:B, "", 0))</f>
        <v>SUP-TCO-KnowledgeManagement</v>
      </c>
      <c r="E16" t="s">
        <v>834</v>
      </c>
      <c r="F16" t="s">
        <v>534</v>
      </c>
      <c r="I16">
        <f t="shared" si="0"/>
        <v>0</v>
      </c>
      <c r="J16" t="s">
        <v>874</v>
      </c>
      <c r="L16" s="11">
        <v>46029</v>
      </c>
      <c r="M16" s="9">
        <v>46036</v>
      </c>
      <c r="N16" s="18">
        <f t="shared" ca="1" si="1"/>
        <v>7</v>
      </c>
      <c r="O16" s="9">
        <v>46052</v>
      </c>
      <c r="P16" s="9" t="str">
        <f t="shared" si="2"/>
        <v>✅ Ja</v>
      </c>
      <c r="Q16" t="s">
        <v>842</v>
      </c>
      <c r="S16" t="s">
        <v>838</v>
      </c>
      <c r="T16" t="s">
        <v>540</v>
      </c>
      <c r="U16" t="s">
        <v>544</v>
      </c>
    </row>
    <row r="17" spans="2:21" x14ac:dyDescent="0.25">
      <c r="B17" t="s">
        <v>25</v>
      </c>
      <c r="C17" t="s">
        <v>462</v>
      </c>
      <c r="D17" t="str">
        <f>IF(_xlfn.XLOOKUP(C17, ABZ!A:A, ABZ!B:B, "", 0) = 0, "", _xlfn.XLOOKUP(C17, ABZ!A:A, ABZ!B:B, "", 0))</f>
        <v>SUP-TCO-KnowledgeManagement</v>
      </c>
      <c r="E17" t="s">
        <v>834</v>
      </c>
      <c r="F17" t="s">
        <v>529</v>
      </c>
      <c r="I17">
        <f t="shared" si="0"/>
        <v>0</v>
      </c>
      <c r="J17" t="s">
        <v>874</v>
      </c>
      <c r="L17" s="11">
        <v>46029</v>
      </c>
      <c r="M17" s="9">
        <v>46036</v>
      </c>
      <c r="N17" s="18">
        <f t="shared" ca="1" si="1"/>
        <v>7</v>
      </c>
      <c r="O17" s="9">
        <v>46052</v>
      </c>
      <c r="P17" s="9" t="str">
        <f t="shared" si="2"/>
        <v>✅ Ja</v>
      </c>
      <c r="Q17" t="s">
        <v>837</v>
      </c>
      <c r="S17" t="s">
        <v>838</v>
      </c>
      <c r="T17" t="s">
        <v>540</v>
      </c>
      <c r="U17" t="s">
        <v>544</v>
      </c>
    </row>
    <row r="18" spans="2:21" x14ac:dyDescent="0.25">
      <c r="B18" t="s">
        <v>25</v>
      </c>
      <c r="C18" t="s">
        <v>462</v>
      </c>
      <c r="D18" t="str">
        <f>IF(_xlfn.XLOOKUP(C18, ABZ!A:A, ABZ!B:B, "", 0) = 0, "", _xlfn.XLOOKUP(C18, ABZ!A:A, ABZ!B:B, "", 0))</f>
        <v>SUP-TCO-KnowledgeManagement</v>
      </c>
      <c r="E18" t="s">
        <v>834</v>
      </c>
      <c r="F18" t="s">
        <v>530</v>
      </c>
      <c r="I18">
        <f t="shared" si="0"/>
        <v>0</v>
      </c>
      <c r="J18" t="s">
        <v>874</v>
      </c>
      <c r="L18" s="11">
        <v>46029</v>
      </c>
      <c r="M18" s="9">
        <v>46036</v>
      </c>
      <c r="N18" s="18">
        <f t="shared" ca="1" si="1"/>
        <v>7</v>
      </c>
      <c r="O18" s="9">
        <v>46052</v>
      </c>
      <c r="P18" s="9" t="str">
        <f t="shared" si="2"/>
        <v>✅ Ja</v>
      </c>
      <c r="Q18" t="s">
        <v>844</v>
      </c>
      <c r="R18" t="s">
        <v>839</v>
      </c>
      <c r="S18" t="s">
        <v>838</v>
      </c>
      <c r="T18" t="s">
        <v>540</v>
      </c>
      <c r="U18" t="s">
        <v>544</v>
      </c>
    </row>
    <row r="19" spans="2:21" x14ac:dyDescent="0.25">
      <c r="B19" t="s">
        <v>25</v>
      </c>
      <c r="C19" t="s">
        <v>462</v>
      </c>
      <c r="D19" t="str">
        <f>IF(_xlfn.XLOOKUP(C19, ABZ!A:A, ABZ!B:B, "", 0) = 0, "", _xlfn.XLOOKUP(C19, ABZ!A:A, ABZ!B:B, "", 0))</f>
        <v>SUP-TCO-KnowledgeManagement</v>
      </c>
      <c r="E19" t="s">
        <v>834</v>
      </c>
      <c r="F19" t="s">
        <v>537</v>
      </c>
      <c r="I19">
        <f t="shared" si="0"/>
        <v>0</v>
      </c>
      <c r="J19" t="s">
        <v>874</v>
      </c>
      <c r="L19" s="11">
        <v>46029</v>
      </c>
      <c r="M19" s="9">
        <v>46036</v>
      </c>
      <c r="N19" s="18">
        <f t="shared" ca="1" si="1"/>
        <v>7</v>
      </c>
      <c r="O19" s="9">
        <v>46052</v>
      </c>
      <c r="P19" s="9" t="str">
        <f t="shared" si="2"/>
        <v>✅ Ja</v>
      </c>
      <c r="Q19" t="s">
        <v>842</v>
      </c>
      <c r="S19" t="s">
        <v>838</v>
      </c>
      <c r="T19" t="s">
        <v>540</v>
      </c>
      <c r="U19" t="s">
        <v>544</v>
      </c>
    </row>
    <row r="20" spans="2:21" x14ac:dyDescent="0.25">
      <c r="B20" t="s">
        <v>25</v>
      </c>
      <c r="C20" t="s">
        <v>462</v>
      </c>
      <c r="D20" t="str">
        <f>IF(_xlfn.XLOOKUP(C20, ABZ!A:A, ABZ!B:B, "", 0) = 0, "", _xlfn.XLOOKUP(C20, ABZ!A:A, ABZ!B:B, "", 0))</f>
        <v>SUP-TCO-KnowledgeManagement</v>
      </c>
      <c r="E20" t="s">
        <v>834</v>
      </c>
      <c r="F20" t="s">
        <v>531</v>
      </c>
      <c r="I20">
        <f t="shared" si="0"/>
        <v>0</v>
      </c>
      <c r="J20" t="s">
        <v>874</v>
      </c>
      <c r="L20" s="11">
        <v>46029</v>
      </c>
      <c r="M20" s="9">
        <v>46036</v>
      </c>
      <c r="N20" s="18">
        <f t="shared" ca="1" si="1"/>
        <v>7</v>
      </c>
      <c r="O20" s="9">
        <v>46052</v>
      </c>
      <c r="P20" s="9" t="str">
        <f t="shared" si="2"/>
        <v>✅ Ja</v>
      </c>
      <c r="Q20" t="s">
        <v>843</v>
      </c>
      <c r="S20" t="s">
        <v>838</v>
      </c>
      <c r="T20" t="s">
        <v>540</v>
      </c>
      <c r="U20" t="s">
        <v>544</v>
      </c>
    </row>
    <row r="21" spans="2:21" x14ac:dyDescent="0.25">
      <c r="B21" t="s">
        <v>25</v>
      </c>
      <c r="C21" t="s">
        <v>462</v>
      </c>
      <c r="D21" t="str">
        <f>IF(_xlfn.XLOOKUP(C21, ABZ!A:A, ABZ!B:B, "", 0) = 0, "", _xlfn.XLOOKUP(C21, ABZ!A:A, ABZ!B:B, "", 0))</f>
        <v>SUP-TCO-KnowledgeManagement</v>
      </c>
      <c r="E21" t="s">
        <v>834</v>
      </c>
      <c r="F21" t="s">
        <v>528</v>
      </c>
      <c r="I21">
        <f t="shared" si="0"/>
        <v>0</v>
      </c>
      <c r="J21" t="s">
        <v>874</v>
      </c>
      <c r="L21" s="11">
        <v>46029</v>
      </c>
      <c r="M21" s="9">
        <v>46043</v>
      </c>
      <c r="N21" s="18">
        <f t="shared" ca="1" si="1"/>
        <v>14</v>
      </c>
      <c r="O21" s="9">
        <v>46045</v>
      </c>
      <c r="P21" s="9" t="str">
        <f t="shared" si="2"/>
        <v>✅ Ja</v>
      </c>
      <c r="Q21" t="s">
        <v>849</v>
      </c>
      <c r="R21" t="s">
        <v>841</v>
      </c>
      <c r="S21" t="s">
        <v>838</v>
      </c>
      <c r="T21" t="s">
        <v>540</v>
      </c>
      <c r="U21" t="s">
        <v>544</v>
      </c>
    </row>
    <row r="22" spans="2:21" x14ac:dyDescent="0.25">
      <c r="B22" t="s">
        <v>25</v>
      </c>
      <c r="C22" t="s">
        <v>462</v>
      </c>
      <c r="D22" t="str">
        <f>IF(_xlfn.XLOOKUP(C22, ABZ!A:A, ABZ!B:B, "", 0) = 0, "", _xlfn.XLOOKUP(C22, ABZ!A:A, ABZ!B:B, "", 0))</f>
        <v>SUP-TCO-KnowledgeManagement</v>
      </c>
      <c r="E22" t="s">
        <v>834</v>
      </c>
      <c r="F22" t="s">
        <v>527</v>
      </c>
      <c r="I22">
        <f t="shared" si="0"/>
        <v>0</v>
      </c>
      <c r="J22" t="s">
        <v>874</v>
      </c>
      <c r="L22" s="11">
        <v>46029</v>
      </c>
      <c r="M22" s="9">
        <v>46038</v>
      </c>
      <c r="N22" s="18">
        <f t="shared" ca="1" si="1"/>
        <v>9</v>
      </c>
      <c r="O22" s="9">
        <v>46045</v>
      </c>
      <c r="P22" s="9" t="str">
        <f t="shared" si="2"/>
        <v>✅ Ja</v>
      </c>
      <c r="Q22" t="s">
        <v>836</v>
      </c>
      <c r="S22" t="s">
        <v>838</v>
      </c>
      <c r="T22" t="s">
        <v>540</v>
      </c>
      <c r="U22" t="s">
        <v>544</v>
      </c>
    </row>
    <row r="23" spans="2:21" x14ac:dyDescent="0.25">
      <c r="B23" t="s">
        <v>25</v>
      </c>
      <c r="C23" t="s">
        <v>462</v>
      </c>
      <c r="D23" t="str">
        <f>IF(_xlfn.XLOOKUP(C23, ABZ!A:A, ABZ!B:B, "", 0) = 0, "", _xlfn.XLOOKUP(C23, ABZ!A:A, ABZ!B:B, "", 0))</f>
        <v>SUP-TCO-KnowledgeManagement</v>
      </c>
      <c r="E23" t="s">
        <v>834</v>
      </c>
      <c r="F23" t="s">
        <v>536</v>
      </c>
      <c r="I23">
        <f t="shared" si="0"/>
        <v>0</v>
      </c>
      <c r="J23" t="s">
        <v>874</v>
      </c>
      <c r="L23" s="11">
        <v>46029</v>
      </c>
      <c r="M23" s="9">
        <v>46036</v>
      </c>
      <c r="N23" s="18">
        <f t="shared" ca="1" si="1"/>
        <v>7</v>
      </c>
      <c r="O23" s="9">
        <v>46052</v>
      </c>
      <c r="P23" s="9" t="str">
        <f t="shared" si="2"/>
        <v>✅ Ja</v>
      </c>
      <c r="Q23" t="s">
        <v>842</v>
      </c>
      <c r="S23" t="s">
        <v>838</v>
      </c>
      <c r="T23" t="s">
        <v>540</v>
      </c>
      <c r="U23" t="s">
        <v>544</v>
      </c>
    </row>
    <row r="24" spans="2:21" x14ac:dyDescent="0.25">
      <c r="B24" t="s">
        <v>25</v>
      </c>
      <c r="C24" t="s">
        <v>462</v>
      </c>
      <c r="D24" t="str">
        <f>IF(_xlfn.XLOOKUP(C24, ABZ!A:A, ABZ!B:B, "", 0) = 0, "", _xlfn.XLOOKUP(C24, ABZ!A:A, ABZ!B:B, "", 0))</f>
        <v>SUP-TCO-KnowledgeManagement</v>
      </c>
      <c r="E24" t="s">
        <v>834</v>
      </c>
      <c r="F24" t="s">
        <v>535</v>
      </c>
      <c r="I24">
        <f t="shared" si="0"/>
        <v>0</v>
      </c>
      <c r="J24" t="s">
        <v>874</v>
      </c>
      <c r="L24" s="11">
        <v>46029</v>
      </c>
      <c r="M24" s="9">
        <v>46036</v>
      </c>
      <c r="N24" s="18">
        <f t="shared" ca="1" si="1"/>
        <v>7</v>
      </c>
      <c r="O24" s="9">
        <v>46052</v>
      </c>
      <c r="P24" s="9" t="str">
        <f t="shared" si="2"/>
        <v>✅ Ja</v>
      </c>
      <c r="Q24" t="s">
        <v>842</v>
      </c>
      <c r="S24" t="s">
        <v>838</v>
      </c>
      <c r="T24" t="s">
        <v>540</v>
      </c>
      <c r="U24" t="s">
        <v>544</v>
      </c>
    </row>
    <row r="25" spans="2:21" x14ac:dyDescent="0.25">
      <c r="B25" t="s">
        <v>25</v>
      </c>
      <c r="C25" t="s">
        <v>462</v>
      </c>
      <c r="D25" t="str">
        <f>IF(_xlfn.XLOOKUP(C25, ABZ!A:A, ABZ!B:B, "", 0) = 0, "", _xlfn.XLOOKUP(C25, ABZ!A:A, ABZ!B:B, "", 0))</f>
        <v>SUP-TCO-KnowledgeManagement</v>
      </c>
      <c r="E25" t="s">
        <v>834</v>
      </c>
      <c r="F25" t="s">
        <v>533</v>
      </c>
      <c r="I25">
        <f t="shared" si="0"/>
        <v>0</v>
      </c>
      <c r="J25" t="s">
        <v>874</v>
      </c>
      <c r="L25" s="11">
        <v>46029</v>
      </c>
      <c r="M25" s="9">
        <v>46036</v>
      </c>
      <c r="N25" s="18">
        <f t="shared" ca="1" si="1"/>
        <v>7</v>
      </c>
      <c r="O25" s="9">
        <v>46052</v>
      </c>
      <c r="P25" s="9" t="str">
        <f t="shared" si="2"/>
        <v>✅ Ja</v>
      </c>
      <c r="Q25" t="s">
        <v>842</v>
      </c>
      <c r="S25" t="s">
        <v>838</v>
      </c>
      <c r="T25" t="s">
        <v>540</v>
      </c>
      <c r="U25" t="s">
        <v>544</v>
      </c>
    </row>
    <row r="26" spans="2:21" x14ac:dyDescent="0.25">
      <c r="B26" t="s">
        <v>25</v>
      </c>
      <c r="C26" t="s">
        <v>462</v>
      </c>
      <c r="D26" t="str">
        <f>IF(_xlfn.XLOOKUP(C26, ABZ!A:A, ABZ!B:B, "", 0) = 0, "", _xlfn.XLOOKUP(C26, ABZ!A:A, ABZ!B:B, "", 0))</f>
        <v>SUP-TCO-KnowledgeManagement</v>
      </c>
      <c r="E26" t="s">
        <v>834</v>
      </c>
      <c r="F26" t="s">
        <v>538</v>
      </c>
      <c r="I26">
        <f t="shared" si="0"/>
        <v>0</v>
      </c>
      <c r="J26" t="s">
        <v>874</v>
      </c>
      <c r="L26" s="11">
        <v>46029</v>
      </c>
      <c r="M26" s="9">
        <v>46036</v>
      </c>
      <c r="N26" s="18">
        <f t="shared" ca="1" si="1"/>
        <v>7</v>
      </c>
      <c r="O26" s="9">
        <v>46052</v>
      </c>
      <c r="P26" s="9" t="str">
        <f t="shared" si="2"/>
        <v>✅ Ja</v>
      </c>
      <c r="Q26" t="s">
        <v>842</v>
      </c>
      <c r="S26" t="s">
        <v>838</v>
      </c>
      <c r="T26" t="s">
        <v>540</v>
      </c>
      <c r="U26" t="s">
        <v>544</v>
      </c>
    </row>
    <row r="27" spans="2:21" x14ac:dyDescent="0.25">
      <c r="B27" t="s">
        <v>26</v>
      </c>
      <c r="C27" t="s">
        <v>463</v>
      </c>
      <c r="D27" t="str">
        <f>IF(_xlfn.XLOOKUP(C27, ABZ!A:A, ABZ!B:B, "", 0) = 0, "", _xlfn.XLOOKUP(C27, ABZ!A:A, ABZ!B:B, "", 0))</f>
        <v>D2C-MarketingContent</v>
      </c>
      <c r="E27" t="s">
        <v>834</v>
      </c>
      <c r="F27" t="s">
        <v>527</v>
      </c>
      <c r="I27">
        <f t="shared" si="0"/>
        <v>1</v>
      </c>
      <c r="L27" s="11">
        <v>46029</v>
      </c>
      <c r="M27" s="9">
        <v>46034</v>
      </c>
      <c r="N27" s="18">
        <f t="shared" ca="1" si="1"/>
        <v>5</v>
      </c>
      <c r="O27" s="9">
        <v>46031</v>
      </c>
      <c r="P27" s="9" t="str">
        <f t="shared" si="2"/>
        <v>❌ Nein</v>
      </c>
      <c r="Q27" t="s">
        <v>836</v>
      </c>
      <c r="S27" t="s">
        <v>839</v>
      </c>
      <c r="T27" t="s">
        <v>540</v>
      </c>
      <c r="U27" t="s">
        <v>541</v>
      </c>
    </row>
    <row r="28" spans="2:21" x14ac:dyDescent="0.25">
      <c r="B28" t="s">
        <v>27</v>
      </c>
      <c r="C28" t="s">
        <v>463</v>
      </c>
      <c r="D28" t="str">
        <f>IF(_xlfn.XLOOKUP(C28, ABZ!A:A, ABZ!B:B, "", 0) = 0, "", _xlfn.XLOOKUP(C28, ABZ!A:A, ABZ!B:B, "", 0))</f>
        <v>D2C-MarketingContent</v>
      </c>
      <c r="E28" t="s">
        <v>834</v>
      </c>
      <c r="F28" t="s">
        <v>529</v>
      </c>
      <c r="I28">
        <f t="shared" si="0"/>
        <v>0</v>
      </c>
      <c r="L28" s="11">
        <v>46029</v>
      </c>
      <c r="M28" s="9">
        <v>46036</v>
      </c>
      <c r="N28" s="18">
        <f t="shared" ca="1" si="1"/>
        <v>7</v>
      </c>
      <c r="O28" s="9">
        <v>46036</v>
      </c>
      <c r="P28" s="9" t="str">
        <f t="shared" si="2"/>
        <v>✅ Ja</v>
      </c>
      <c r="Q28" t="s">
        <v>837</v>
      </c>
      <c r="S28" t="s">
        <v>839</v>
      </c>
      <c r="T28" t="s">
        <v>540</v>
      </c>
      <c r="U28" t="s">
        <v>541</v>
      </c>
    </row>
    <row r="29" spans="2:21" x14ac:dyDescent="0.25">
      <c r="B29" t="s">
        <v>27</v>
      </c>
      <c r="C29" t="s">
        <v>463</v>
      </c>
      <c r="D29" t="str">
        <f>IF(_xlfn.XLOOKUP(C29, ABZ!A:A, ABZ!B:B, "", 0) = 0, "", _xlfn.XLOOKUP(C29, ABZ!A:A, ABZ!B:B, "", 0))</f>
        <v>D2C-MarketingContent</v>
      </c>
      <c r="E29" t="s">
        <v>834</v>
      </c>
      <c r="F29" t="s">
        <v>527</v>
      </c>
      <c r="I29">
        <f t="shared" si="0"/>
        <v>0</v>
      </c>
      <c r="L29" s="11">
        <v>46029</v>
      </c>
      <c r="M29" s="9">
        <v>46036</v>
      </c>
      <c r="N29" s="18">
        <f t="shared" ca="1" si="1"/>
        <v>7</v>
      </c>
      <c r="O29" s="9">
        <v>46036</v>
      </c>
      <c r="P29" s="9" t="str">
        <f t="shared" si="2"/>
        <v>✅ Ja</v>
      </c>
      <c r="Q29" t="s">
        <v>836</v>
      </c>
      <c r="S29" t="s">
        <v>839</v>
      </c>
      <c r="T29" t="s">
        <v>540</v>
      </c>
      <c r="U29" t="s">
        <v>541</v>
      </c>
    </row>
    <row r="30" spans="2:21" x14ac:dyDescent="0.25">
      <c r="B30" t="s">
        <v>27</v>
      </c>
      <c r="C30" t="s">
        <v>463</v>
      </c>
      <c r="D30" t="str">
        <f>IF(_xlfn.XLOOKUP(C30, ABZ!A:A, ABZ!B:B, "", 0) = 0, "", _xlfn.XLOOKUP(C30, ABZ!A:A, ABZ!B:B, "", 0))</f>
        <v>D2C-MarketingContent</v>
      </c>
      <c r="E30" t="s">
        <v>834</v>
      </c>
      <c r="F30" t="s">
        <v>528</v>
      </c>
      <c r="I30">
        <f t="shared" si="0"/>
        <v>0</v>
      </c>
      <c r="L30" s="11">
        <v>46029</v>
      </c>
      <c r="M30" s="9">
        <v>46036</v>
      </c>
      <c r="N30" s="18">
        <f t="shared" ca="1" si="1"/>
        <v>7</v>
      </c>
      <c r="O30" s="9">
        <v>46036</v>
      </c>
      <c r="P30" s="9" t="str">
        <f t="shared" si="2"/>
        <v>✅ Ja</v>
      </c>
      <c r="Q30" t="s">
        <v>841</v>
      </c>
      <c r="S30" t="s">
        <v>839</v>
      </c>
      <c r="T30" t="s">
        <v>540</v>
      </c>
      <c r="U30" t="s">
        <v>541</v>
      </c>
    </row>
    <row r="31" spans="2:21" x14ac:dyDescent="0.25">
      <c r="B31" t="s">
        <v>27</v>
      </c>
      <c r="C31" t="s">
        <v>463</v>
      </c>
      <c r="D31" t="str">
        <f>IF(_xlfn.XLOOKUP(C31, ABZ!A:A, ABZ!B:B, "", 0) = 0, "", _xlfn.XLOOKUP(C31, ABZ!A:A, ABZ!B:B, "", 0))</f>
        <v>D2C-MarketingContent</v>
      </c>
      <c r="E31" t="s">
        <v>834</v>
      </c>
      <c r="F31" t="s">
        <v>530</v>
      </c>
      <c r="I31">
        <f t="shared" si="0"/>
        <v>0</v>
      </c>
      <c r="L31" s="11">
        <v>46029</v>
      </c>
      <c r="M31" s="9">
        <v>46036</v>
      </c>
      <c r="N31" s="18">
        <f t="shared" ca="1" si="1"/>
        <v>7</v>
      </c>
      <c r="O31" s="9">
        <v>46036</v>
      </c>
      <c r="P31" s="9" t="str">
        <f t="shared" si="2"/>
        <v>✅ Ja</v>
      </c>
      <c r="Q31" t="s">
        <v>844</v>
      </c>
      <c r="S31" t="s">
        <v>839</v>
      </c>
      <c r="T31" t="s">
        <v>540</v>
      </c>
      <c r="U31" t="s">
        <v>541</v>
      </c>
    </row>
    <row r="32" spans="2:21" x14ac:dyDescent="0.25">
      <c r="B32" t="s">
        <v>28</v>
      </c>
      <c r="C32" t="s">
        <v>457</v>
      </c>
      <c r="D32" t="str">
        <f>IF(_xlfn.XLOOKUP(C32, ABZ!A:A, ABZ!B:B, "", 0) = 0, "", _xlfn.XLOOKUP(C32, ABZ!A:A, ABZ!B:B, "", 0))</f>
        <v>VTR-CS-SER-PartnerCommunication</v>
      </c>
      <c r="E32" t="s">
        <v>834</v>
      </c>
      <c r="F32" t="s">
        <v>527</v>
      </c>
      <c r="I32">
        <f t="shared" si="0"/>
        <v>1</v>
      </c>
      <c r="L32" s="9">
        <v>46030</v>
      </c>
      <c r="M32" s="9">
        <v>46030</v>
      </c>
      <c r="N32" s="18">
        <f t="shared" ca="1" si="1"/>
        <v>0</v>
      </c>
      <c r="O32" s="9">
        <v>46030</v>
      </c>
      <c r="P32" s="9" t="str">
        <f t="shared" si="2"/>
        <v>✅ Ja</v>
      </c>
      <c r="Q32" t="s">
        <v>836</v>
      </c>
      <c r="S32" t="s">
        <v>840</v>
      </c>
      <c r="T32" t="s">
        <v>540</v>
      </c>
      <c r="U32" t="s">
        <v>541</v>
      </c>
    </row>
    <row r="33" spans="2:21" x14ac:dyDescent="0.25">
      <c r="B33" t="s">
        <v>29</v>
      </c>
      <c r="C33" t="s">
        <v>464</v>
      </c>
      <c r="D33" t="str">
        <f>IF(_xlfn.XLOOKUP(C33, ABZ!A:A, ABZ!B:B, "", 0) = 0, "", _xlfn.XLOOKUP(C33, ABZ!A:A, ABZ!B:B, "", 0))</f>
        <v>ENT-UIC-Android</v>
      </c>
      <c r="E33" t="s">
        <v>834</v>
      </c>
      <c r="F33" t="s">
        <v>527</v>
      </c>
      <c r="G33">
        <v>256</v>
      </c>
      <c r="I33">
        <f t="shared" si="0"/>
        <v>1</v>
      </c>
      <c r="J33" t="s">
        <v>873</v>
      </c>
      <c r="K33">
        <v>153535</v>
      </c>
      <c r="L33" s="9">
        <v>46029</v>
      </c>
      <c r="M33" s="9">
        <v>46030</v>
      </c>
      <c r="N33" s="18">
        <f t="shared" ca="1" si="1"/>
        <v>1</v>
      </c>
      <c r="O33" s="9">
        <v>46030</v>
      </c>
      <c r="P33" s="9" t="str">
        <f t="shared" si="2"/>
        <v>✅ Ja</v>
      </c>
      <c r="Q33" t="s">
        <v>508</v>
      </c>
      <c r="R33" t="s">
        <v>838</v>
      </c>
      <c r="S33" t="s">
        <v>838</v>
      </c>
      <c r="T33" t="s">
        <v>540</v>
      </c>
      <c r="U33" t="s">
        <v>545</v>
      </c>
    </row>
    <row r="34" spans="2:21" x14ac:dyDescent="0.25">
      <c r="B34" t="s">
        <v>29</v>
      </c>
      <c r="C34" t="s">
        <v>464</v>
      </c>
      <c r="D34" t="str">
        <f>IF(_xlfn.XLOOKUP(C34, ABZ!A:A, ABZ!B:B, "", 0) = 0, "", _xlfn.XLOOKUP(C34, ABZ!A:A, ABZ!B:B, "", 0))</f>
        <v>ENT-UIC-Android</v>
      </c>
      <c r="E34" t="s">
        <v>834</v>
      </c>
      <c r="F34" t="s">
        <v>529</v>
      </c>
      <c r="G34">
        <v>256</v>
      </c>
      <c r="I34">
        <f t="shared" si="0"/>
        <v>0</v>
      </c>
      <c r="J34" t="s">
        <v>873</v>
      </c>
      <c r="K34">
        <v>153535</v>
      </c>
      <c r="L34" s="9">
        <v>46029</v>
      </c>
      <c r="M34" s="9">
        <v>46034</v>
      </c>
      <c r="N34" s="18">
        <f t="shared" ca="1" si="1"/>
        <v>5</v>
      </c>
      <c r="O34" s="9">
        <v>46034</v>
      </c>
      <c r="P34" s="9" t="str">
        <f t="shared" si="2"/>
        <v>✅ Ja</v>
      </c>
      <c r="Q34" t="s">
        <v>837</v>
      </c>
      <c r="S34" t="s">
        <v>838</v>
      </c>
      <c r="T34" t="s">
        <v>540</v>
      </c>
      <c r="U34" t="s">
        <v>545</v>
      </c>
    </row>
    <row r="35" spans="2:21" x14ac:dyDescent="0.25">
      <c r="B35" t="s">
        <v>29</v>
      </c>
      <c r="C35" t="s">
        <v>464</v>
      </c>
      <c r="D35" t="str">
        <f>IF(_xlfn.XLOOKUP(C35, ABZ!A:A, ABZ!B:B, "", 0) = 0, "", _xlfn.XLOOKUP(C35, ABZ!A:A, ABZ!B:B, "", 0))</f>
        <v>ENT-UIC-Android</v>
      </c>
      <c r="E35" t="s">
        <v>834</v>
      </c>
      <c r="F35" t="s">
        <v>527</v>
      </c>
      <c r="G35">
        <v>256</v>
      </c>
      <c r="I35">
        <f t="shared" si="0"/>
        <v>0</v>
      </c>
      <c r="J35" t="s">
        <v>873</v>
      </c>
      <c r="K35">
        <v>153535</v>
      </c>
      <c r="L35" s="9">
        <v>46029</v>
      </c>
      <c r="M35" s="9">
        <v>46034</v>
      </c>
      <c r="N35" s="18">
        <f t="shared" ca="1" si="1"/>
        <v>5</v>
      </c>
      <c r="O35" s="9">
        <v>46034</v>
      </c>
      <c r="P35" s="9" t="str">
        <f t="shared" si="2"/>
        <v>✅ Ja</v>
      </c>
      <c r="Q35" t="s">
        <v>839</v>
      </c>
      <c r="S35" t="s">
        <v>838</v>
      </c>
      <c r="T35" t="s">
        <v>540</v>
      </c>
      <c r="U35" t="s">
        <v>545</v>
      </c>
    </row>
    <row r="36" spans="2:21" x14ac:dyDescent="0.25">
      <c r="B36" t="s">
        <v>29</v>
      </c>
      <c r="C36" t="s">
        <v>464</v>
      </c>
      <c r="D36" t="str">
        <f>IF(_xlfn.XLOOKUP(C36, ABZ!A:A, ABZ!B:B, "", 0) = 0, "", _xlfn.XLOOKUP(C36, ABZ!A:A, ABZ!B:B, "", 0))</f>
        <v>ENT-UIC-Android</v>
      </c>
      <c r="E36" t="s">
        <v>834</v>
      </c>
      <c r="F36" t="s">
        <v>527</v>
      </c>
      <c r="G36">
        <v>256</v>
      </c>
      <c r="I36">
        <f t="shared" si="0"/>
        <v>0</v>
      </c>
      <c r="J36" t="s">
        <v>873</v>
      </c>
      <c r="K36">
        <v>153535</v>
      </c>
      <c r="L36" s="9">
        <v>46029</v>
      </c>
      <c r="M36" s="9">
        <v>46034</v>
      </c>
      <c r="N36" s="18">
        <f t="shared" ca="1" si="1"/>
        <v>5</v>
      </c>
      <c r="O36" s="9">
        <v>46034</v>
      </c>
      <c r="P36" s="9" t="str">
        <f t="shared" si="2"/>
        <v>✅ Ja</v>
      </c>
      <c r="Q36" t="s">
        <v>843</v>
      </c>
      <c r="S36" t="s">
        <v>838</v>
      </c>
      <c r="T36" t="s">
        <v>540</v>
      </c>
      <c r="U36" t="s">
        <v>545</v>
      </c>
    </row>
    <row r="37" spans="2:21" x14ac:dyDescent="0.25">
      <c r="B37" t="s">
        <v>29</v>
      </c>
      <c r="C37" t="s">
        <v>464</v>
      </c>
      <c r="D37" t="str">
        <f>IF(_xlfn.XLOOKUP(C37, ABZ!A:A, ABZ!B:B, "", 0) = 0, "", _xlfn.XLOOKUP(C37, ABZ!A:A, ABZ!B:B, "", 0))</f>
        <v>ENT-UIC-Android</v>
      </c>
      <c r="E37" t="s">
        <v>834</v>
      </c>
      <c r="F37" t="s">
        <v>528</v>
      </c>
      <c r="G37">
        <v>256</v>
      </c>
      <c r="I37">
        <f t="shared" si="0"/>
        <v>0</v>
      </c>
      <c r="J37" t="s">
        <v>873</v>
      </c>
      <c r="K37">
        <v>153535</v>
      </c>
      <c r="L37" s="9">
        <v>46029</v>
      </c>
      <c r="M37" s="9">
        <v>46034</v>
      </c>
      <c r="N37" s="18">
        <f t="shared" ca="1" si="1"/>
        <v>5</v>
      </c>
      <c r="O37" s="9">
        <v>46034</v>
      </c>
      <c r="P37" s="9" t="str">
        <f t="shared" si="2"/>
        <v>✅ Ja</v>
      </c>
      <c r="Q37" t="s">
        <v>841</v>
      </c>
      <c r="S37" t="s">
        <v>838</v>
      </c>
      <c r="T37" t="s">
        <v>540</v>
      </c>
      <c r="U37" t="s">
        <v>545</v>
      </c>
    </row>
    <row r="38" spans="2:21" x14ac:dyDescent="0.25">
      <c r="B38" t="s">
        <v>29</v>
      </c>
      <c r="C38" t="s">
        <v>464</v>
      </c>
      <c r="D38" t="str">
        <f>IF(_xlfn.XLOOKUP(C38, ABZ!A:A, ABZ!B:B, "", 0) = 0, "", _xlfn.XLOOKUP(C38, ABZ!A:A, ABZ!B:B, "", 0))</f>
        <v>ENT-UIC-Android</v>
      </c>
      <c r="E38" t="s">
        <v>834</v>
      </c>
      <c r="F38" t="s">
        <v>527</v>
      </c>
      <c r="G38">
        <v>256</v>
      </c>
      <c r="I38">
        <f t="shared" si="0"/>
        <v>0</v>
      </c>
      <c r="J38" t="s">
        <v>873</v>
      </c>
      <c r="K38">
        <v>153535</v>
      </c>
      <c r="L38" s="9">
        <v>46029</v>
      </c>
      <c r="M38" s="9">
        <v>46034</v>
      </c>
      <c r="N38" s="18">
        <f t="shared" ca="1" si="1"/>
        <v>5</v>
      </c>
      <c r="O38" s="9">
        <v>46034</v>
      </c>
      <c r="P38" s="9" t="str">
        <f t="shared" si="2"/>
        <v>✅ Ja</v>
      </c>
      <c r="Q38" t="s">
        <v>836</v>
      </c>
      <c r="S38" t="s">
        <v>838</v>
      </c>
      <c r="T38" t="s">
        <v>540</v>
      </c>
      <c r="U38" t="s">
        <v>545</v>
      </c>
    </row>
    <row r="39" spans="2:21" x14ac:dyDescent="0.25">
      <c r="B39" t="s">
        <v>29</v>
      </c>
      <c r="C39" t="s">
        <v>464</v>
      </c>
      <c r="D39" t="str">
        <f>IF(_xlfn.XLOOKUP(C39, ABZ!A:A, ABZ!B:B, "", 0) = 0, "", _xlfn.XLOOKUP(C39, ABZ!A:A, ABZ!B:B, "", 0))</f>
        <v>ENT-UIC-Android</v>
      </c>
      <c r="E39" t="s">
        <v>834</v>
      </c>
      <c r="F39" t="s">
        <v>535</v>
      </c>
      <c r="G39">
        <v>256</v>
      </c>
      <c r="I39">
        <f t="shared" si="0"/>
        <v>0</v>
      </c>
      <c r="J39" t="s">
        <v>873</v>
      </c>
      <c r="K39">
        <v>153535</v>
      </c>
      <c r="L39" s="9">
        <v>46029</v>
      </c>
      <c r="M39" s="9">
        <v>46034</v>
      </c>
      <c r="N39" s="18">
        <f t="shared" ca="1" si="1"/>
        <v>5</v>
      </c>
      <c r="O39" s="9">
        <v>46034</v>
      </c>
      <c r="P39" s="9" t="str">
        <f t="shared" si="2"/>
        <v>✅ Ja</v>
      </c>
      <c r="Q39" t="s">
        <v>842</v>
      </c>
      <c r="S39" t="s">
        <v>838</v>
      </c>
      <c r="T39" t="s">
        <v>540</v>
      </c>
      <c r="U39" t="s">
        <v>545</v>
      </c>
    </row>
    <row r="40" spans="2:21" x14ac:dyDescent="0.25">
      <c r="B40" t="s">
        <v>29</v>
      </c>
      <c r="C40" t="s">
        <v>464</v>
      </c>
      <c r="D40" t="str">
        <f>IF(_xlfn.XLOOKUP(C40, ABZ!A:A, ABZ!B:B, "", 0) = 0, "", _xlfn.XLOOKUP(C40, ABZ!A:A, ABZ!B:B, "", 0))</f>
        <v>ENT-UIC-Android</v>
      </c>
      <c r="E40" t="s">
        <v>834</v>
      </c>
      <c r="F40" t="s">
        <v>538</v>
      </c>
      <c r="G40">
        <v>256</v>
      </c>
      <c r="I40">
        <f t="shared" si="0"/>
        <v>0</v>
      </c>
      <c r="J40" t="s">
        <v>873</v>
      </c>
      <c r="K40">
        <v>153535</v>
      </c>
      <c r="L40" s="9">
        <v>46029</v>
      </c>
      <c r="M40" s="9">
        <v>46034</v>
      </c>
      <c r="N40" s="18">
        <f t="shared" ca="1" si="1"/>
        <v>5</v>
      </c>
      <c r="O40" s="9">
        <v>46034</v>
      </c>
      <c r="P40" s="9" t="str">
        <f t="shared" si="2"/>
        <v>✅ Ja</v>
      </c>
      <c r="Q40" t="s">
        <v>842</v>
      </c>
      <c r="S40" t="s">
        <v>838</v>
      </c>
      <c r="T40" t="s">
        <v>540</v>
      </c>
      <c r="U40" t="s">
        <v>545</v>
      </c>
    </row>
    <row r="41" spans="2:21" x14ac:dyDescent="0.25">
      <c r="B41" t="s">
        <v>30</v>
      </c>
      <c r="C41" t="s">
        <v>465</v>
      </c>
      <c r="D41" t="str">
        <f>IF(_xlfn.XLOOKUP(C41, ABZ!A:A, ABZ!B:B, "", 0) = 0, "", _xlfn.XLOOKUP(C41, ABZ!A:A, ABZ!B:B, "", 0))</f>
        <v>KOM-Marketing</v>
      </c>
      <c r="E41" t="s">
        <v>834</v>
      </c>
      <c r="F41" t="s">
        <v>529</v>
      </c>
      <c r="G41">
        <v>115</v>
      </c>
      <c r="I41">
        <f t="shared" si="0"/>
        <v>0</v>
      </c>
      <c r="L41" s="9">
        <v>46031</v>
      </c>
      <c r="M41" s="9">
        <v>46034</v>
      </c>
      <c r="N41" s="18">
        <f t="shared" ca="1" si="1"/>
        <v>3</v>
      </c>
      <c r="O41" s="9">
        <v>46035</v>
      </c>
      <c r="P41" s="9" t="str">
        <f t="shared" si="2"/>
        <v>✅ Ja</v>
      </c>
      <c r="Q41" t="s">
        <v>837</v>
      </c>
      <c r="S41" t="s">
        <v>838</v>
      </c>
      <c r="T41" t="s">
        <v>540</v>
      </c>
      <c r="U41" t="s">
        <v>546</v>
      </c>
    </row>
    <row r="42" spans="2:21" x14ac:dyDescent="0.25">
      <c r="B42" t="s">
        <v>31</v>
      </c>
      <c r="C42" t="s">
        <v>466</v>
      </c>
      <c r="D42" t="str">
        <f>IF(_xlfn.XLOOKUP(C42, ABZ!A:A, ABZ!B:B, "", 0) = 0, "", _xlfn.XLOOKUP(C42, ABZ!A:A, ABZ!B:B, "", 0))</f>
        <v>VTR-CS-SER-PartnerCommunication</v>
      </c>
      <c r="E42" t="s">
        <v>834</v>
      </c>
      <c r="F42" t="s">
        <v>527</v>
      </c>
      <c r="I42">
        <f t="shared" si="0"/>
        <v>0</v>
      </c>
      <c r="L42" s="9">
        <v>46031</v>
      </c>
      <c r="M42" s="9">
        <v>46036</v>
      </c>
      <c r="N42" s="18">
        <f t="shared" ca="1" si="1"/>
        <v>5</v>
      </c>
      <c r="O42" s="9">
        <v>46042</v>
      </c>
      <c r="P42" s="9" t="str">
        <f t="shared" si="2"/>
        <v>✅ Ja</v>
      </c>
      <c r="Q42" t="s">
        <v>836</v>
      </c>
      <c r="S42" t="s">
        <v>838</v>
      </c>
      <c r="T42" t="s">
        <v>540</v>
      </c>
      <c r="U42" t="s">
        <v>546</v>
      </c>
    </row>
    <row r="43" spans="2:21" x14ac:dyDescent="0.25">
      <c r="B43" t="s">
        <v>32</v>
      </c>
      <c r="C43" t="s">
        <v>467</v>
      </c>
      <c r="D43" t="str">
        <f>IF(_xlfn.XLOOKUP(C43, ABZ!A:A, ABZ!B:B, "", 0) = 0, "", _xlfn.XLOOKUP(C43, ABZ!A:A, ABZ!B:B, "", 0))</f>
        <v>D2C-MarketingContent</v>
      </c>
      <c r="E43" t="s">
        <v>834</v>
      </c>
      <c r="F43" t="s">
        <v>529</v>
      </c>
      <c r="I43">
        <f t="shared" si="0"/>
        <v>0</v>
      </c>
      <c r="L43" s="9">
        <v>46021</v>
      </c>
      <c r="M43" s="9">
        <v>46038</v>
      </c>
      <c r="N43" s="18">
        <f t="shared" ca="1" si="1"/>
        <v>17</v>
      </c>
      <c r="O43" s="9">
        <v>46038</v>
      </c>
      <c r="P43" s="9" t="str">
        <f t="shared" si="2"/>
        <v>✅ Ja</v>
      </c>
      <c r="Q43" t="s">
        <v>845</v>
      </c>
      <c r="S43" t="s">
        <v>839</v>
      </c>
      <c r="T43" t="s">
        <v>540</v>
      </c>
      <c r="U43" t="s">
        <v>547</v>
      </c>
    </row>
    <row r="44" spans="2:21" x14ac:dyDescent="0.25">
      <c r="B44" t="s">
        <v>32</v>
      </c>
      <c r="C44" t="s">
        <v>467</v>
      </c>
      <c r="D44" t="str">
        <f>IF(_xlfn.XLOOKUP(C44, ABZ!A:A, ABZ!B:B, "", 0) = 0, "", _xlfn.XLOOKUP(C44, ABZ!A:A, ABZ!B:B, "", 0))</f>
        <v>D2C-MarketingContent</v>
      </c>
      <c r="E44" t="s">
        <v>834</v>
      </c>
      <c r="F44" t="s">
        <v>528</v>
      </c>
      <c r="I44">
        <f t="shared" si="0"/>
        <v>0</v>
      </c>
      <c r="L44" s="9">
        <v>46021</v>
      </c>
      <c r="M44" s="9">
        <v>46038</v>
      </c>
      <c r="N44" s="18">
        <f t="shared" ca="1" si="1"/>
        <v>17</v>
      </c>
      <c r="O44" s="9">
        <v>46038</v>
      </c>
      <c r="P44" s="9" t="str">
        <f t="shared" si="2"/>
        <v>✅ Ja</v>
      </c>
      <c r="Q44" t="s">
        <v>841</v>
      </c>
      <c r="S44" t="s">
        <v>839</v>
      </c>
      <c r="T44" t="s">
        <v>540</v>
      </c>
      <c r="U44" t="s">
        <v>547</v>
      </c>
    </row>
    <row r="45" spans="2:21" x14ac:dyDescent="0.25">
      <c r="B45" t="s">
        <v>32</v>
      </c>
      <c r="C45" t="s">
        <v>467</v>
      </c>
      <c r="D45" t="str">
        <f>IF(_xlfn.XLOOKUP(C45, ABZ!A:A, ABZ!B:B, "", 0) = 0, "", _xlfn.XLOOKUP(C45, ABZ!A:A, ABZ!B:B, "", 0))</f>
        <v>D2C-MarketingContent</v>
      </c>
      <c r="E45" t="s">
        <v>834</v>
      </c>
      <c r="F45" t="s">
        <v>530</v>
      </c>
      <c r="I45">
        <f t="shared" si="0"/>
        <v>0</v>
      </c>
      <c r="L45" s="9">
        <v>46021</v>
      </c>
      <c r="M45" s="9">
        <v>46038</v>
      </c>
      <c r="N45" s="18">
        <f t="shared" ca="1" si="1"/>
        <v>17</v>
      </c>
      <c r="O45" s="9">
        <v>46038</v>
      </c>
      <c r="P45" s="9" t="str">
        <f t="shared" si="2"/>
        <v>✅ Ja</v>
      </c>
      <c r="Q45" t="s">
        <v>844</v>
      </c>
      <c r="S45" t="s">
        <v>839</v>
      </c>
      <c r="T45" t="s">
        <v>540</v>
      </c>
      <c r="U45" t="s">
        <v>547</v>
      </c>
    </row>
    <row r="46" spans="2:21" x14ac:dyDescent="0.25">
      <c r="B46" t="s">
        <v>32</v>
      </c>
      <c r="C46" t="s">
        <v>467</v>
      </c>
      <c r="D46" t="str">
        <f>IF(_xlfn.XLOOKUP(C46, ABZ!A:A, ABZ!B:B, "", 0) = 0, "", _xlfn.XLOOKUP(C46, ABZ!A:A, ABZ!B:B, "", 0))</f>
        <v>D2C-MarketingContent</v>
      </c>
      <c r="E46" t="s">
        <v>834</v>
      </c>
      <c r="F46" t="s">
        <v>527</v>
      </c>
      <c r="I46">
        <f t="shared" si="0"/>
        <v>0</v>
      </c>
      <c r="L46" s="9">
        <v>46021</v>
      </c>
      <c r="M46" s="9">
        <v>46038</v>
      </c>
      <c r="N46" s="18">
        <f t="shared" ca="1" si="1"/>
        <v>17</v>
      </c>
      <c r="O46" s="9">
        <v>46038</v>
      </c>
      <c r="P46" s="9" t="str">
        <f t="shared" si="2"/>
        <v>✅ Ja</v>
      </c>
      <c r="Q46" t="s">
        <v>836</v>
      </c>
      <c r="S46" t="s">
        <v>839</v>
      </c>
      <c r="T46" t="s">
        <v>540</v>
      </c>
      <c r="U46" t="s">
        <v>547</v>
      </c>
    </row>
    <row r="47" spans="2:21" x14ac:dyDescent="0.25">
      <c r="B47" t="s">
        <v>32</v>
      </c>
      <c r="C47" t="s">
        <v>467</v>
      </c>
      <c r="D47" t="str">
        <f>IF(_xlfn.XLOOKUP(C47, ABZ!A:A, ABZ!B:B, "", 0) = 0, "", _xlfn.XLOOKUP(C47, ABZ!A:A, ABZ!B:B, "", 0))</f>
        <v>D2C-MarketingContent</v>
      </c>
      <c r="E47" t="s">
        <v>834</v>
      </c>
      <c r="F47" t="s">
        <v>527</v>
      </c>
      <c r="I47">
        <f t="shared" si="0"/>
        <v>0</v>
      </c>
      <c r="L47" s="9">
        <v>46021</v>
      </c>
      <c r="M47" s="9">
        <v>46038</v>
      </c>
      <c r="N47" s="18">
        <f t="shared" ca="1" si="1"/>
        <v>17</v>
      </c>
      <c r="O47" s="9">
        <v>46038</v>
      </c>
      <c r="P47" s="9" t="str">
        <f t="shared" si="2"/>
        <v>✅ Ja</v>
      </c>
      <c r="Q47" t="s">
        <v>843</v>
      </c>
      <c r="S47" t="s">
        <v>839</v>
      </c>
      <c r="T47" t="s">
        <v>540</v>
      </c>
      <c r="U47" t="s">
        <v>547</v>
      </c>
    </row>
    <row r="48" spans="2:21" x14ac:dyDescent="0.25">
      <c r="B48" t="s">
        <v>33</v>
      </c>
      <c r="C48" t="s">
        <v>468</v>
      </c>
      <c r="D48" t="str">
        <f>IF(_xlfn.XLOOKUP(C48, ABZ!A:A, ABZ!B:B, "", 0) = 0, "", _xlfn.XLOOKUP(C48, ABZ!A:A, ABZ!B:B, "", 0))</f>
        <v>SUP-TCO-KnowledgeManagement</v>
      </c>
      <c r="E48" t="s">
        <v>834</v>
      </c>
      <c r="F48" t="s">
        <v>529</v>
      </c>
      <c r="I48">
        <f t="shared" si="0"/>
        <v>0</v>
      </c>
      <c r="L48" s="9">
        <v>46034</v>
      </c>
      <c r="M48" s="9">
        <v>46041</v>
      </c>
      <c r="N48" s="18">
        <f t="shared" ca="1" si="1"/>
        <v>7</v>
      </c>
      <c r="O48" s="9">
        <v>46041</v>
      </c>
      <c r="P48" s="9" t="str">
        <f t="shared" si="2"/>
        <v>✅ Ja</v>
      </c>
      <c r="Q48" t="s">
        <v>837</v>
      </c>
      <c r="S48" t="s">
        <v>840</v>
      </c>
      <c r="T48" t="s">
        <v>540</v>
      </c>
      <c r="U48" t="s">
        <v>548</v>
      </c>
    </row>
    <row r="49" spans="2:21" x14ac:dyDescent="0.25">
      <c r="B49" t="s">
        <v>34</v>
      </c>
      <c r="C49" t="s">
        <v>468</v>
      </c>
      <c r="D49" t="str">
        <f>IF(_xlfn.XLOOKUP(C49, ABZ!A:A, ABZ!B:B, "", 0) = 0, "", _xlfn.XLOOKUP(C49, ABZ!A:A, ABZ!B:B, "", 0))</f>
        <v>SUP-TCO-KnowledgeManagement</v>
      </c>
      <c r="E49" t="s">
        <v>834</v>
      </c>
      <c r="F49" t="s">
        <v>529</v>
      </c>
      <c r="I49">
        <f t="shared" si="0"/>
        <v>0</v>
      </c>
      <c r="L49" s="9">
        <v>46034</v>
      </c>
      <c r="M49" s="9">
        <v>46041</v>
      </c>
      <c r="N49" s="18">
        <f t="shared" ca="1" si="1"/>
        <v>7</v>
      </c>
      <c r="O49" s="9">
        <v>46041</v>
      </c>
      <c r="P49" s="9" t="str">
        <f t="shared" si="2"/>
        <v>✅ Ja</v>
      </c>
      <c r="Q49" t="s">
        <v>837</v>
      </c>
      <c r="S49" t="s">
        <v>840</v>
      </c>
      <c r="T49" t="s">
        <v>540</v>
      </c>
      <c r="U49" t="s">
        <v>548</v>
      </c>
    </row>
    <row r="50" spans="2:21" x14ac:dyDescent="0.25">
      <c r="B50" t="s">
        <v>35</v>
      </c>
      <c r="C50" t="s">
        <v>468</v>
      </c>
      <c r="D50" t="str">
        <f>IF(_xlfn.XLOOKUP(C50, ABZ!A:A, ABZ!B:B, "", 0) = 0, "", _xlfn.XLOOKUP(C50, ABZ!A:A, ABZ!B:B, "", 0))</f>
        <v>SUP-TCO-KnowledgeManagement</v>
      </c>
      <c r="E50" t="s">
        <v>834</v>
      </c>
      <c r="F50" t="s">
        <v>528</v>
      </c>
      <c r="I50">
        <f t="shared" si="0"/>
        <v>0</v>
      </c>
      <c r="L50" s="9">
        <v>46034</v>
      </c>
      <c r="M50" s="9">
        <v>46042</v>
      </c>
      <c r="N50" s="18">
        <f t="shared" ca="1" si="1"/>
        <v>8</v>
      </c>
      <c r="O50" s="9">
        <v>46045</v>
      </c>
      <c r="P50" s="9" t="str">
        <f t="shared" si="2"/>
        <v>✅ Ja</v>
      </c>
      <c r="Q50" t="s">
        <v>841</v>
      </c>
      <c r="S50" t="s">
        <v>840</v>
      </c>
      <c r="T50" t="s">
        <v>540</v>
      </c>
      <c r="U50" t="s">
        <v>549</v>
      </c>
    </row>
    <row r="51" spans="2:21" x14ac:dyDescent="0.25">
      <c r="B51" t="s">
        <v>36</v>
      </c>
      <c r="C51" t="s">
        <v>468</v>
      </c>
      <c r="D51" t="str">
        <f>IF(_xlfn.XLOOKUP(C51, ABZ!A:A, ABZ!B:B, "", 0) = 0, "", _xlfn.XLOOKUP(C51, ABZ!A:A, ABZ!B:B, "", 0))</f>
        <v>SUP-TCO-KnowledgeManagement</v>
      </c>
      <c r="E51" t="s">
        <v>834</v>
      </c>
      <c r="F51" t="s">
        <v>528</v>
      </c>
      <c r="I51">
        <f t="shared" si="0"/>
        <v>0</v>
      </c>
      <c r="L51" s="9">
        <v>46034</v>
      </c>
      <c r="M51" s="9">
        <v>46042</v>
      </c>
      <c r="N51" s="18">
        <f t="shared" ca="1" si="1"/>
        <v>8</v>
      </c>
      <c r="O51" s="9">
        <v>46045</v>
      </c>
      <c r="P51" s="9" t="str">
        <f t="shared" si="2"/>
        <v>✅ Ja</v>
      </c>
      <c r="Q51" t="s">
        <v>841</v>
      </c>
      <c r="S51" t="s">
        <v>840</v>
      </c>
      <c r="T51" t="s">
        <v>540</v>
      </c>
      <c r="U51" t="s">
        <v>549</v>
      </c>
    </row>
    <row r="52" spans="2:21" x14ac:dyDescent="0.25">
      <c r="B52" t="s">
        <v>37</v>
      </c>
      <c r="C52" t="s">
        <v>468</v>
      </c>
      <c r="D52" t="str">
        <f>IF(_xlfn.XLOOKUP(C52, ABZ!A:A, ABZ!B:B, "", 0) = 0, "", _xlfn.XLOOKUP(C52, ABZ!A:A, ABZ!B:B, "", 0))</f>
        <v>SUP-TCO-KnowledgeManagement</v>
      </c>
      <c r="E52" t="s">
        <v>834</v>
      </c>
      <c r="F52" t="s">
        <v>527</v>
      </c>
      <c r="I52">
        <f t="shared" si="0"/>
        <v>0</v>
      </c>
      <c r="L52" s="9">
        <v>46034</v>
      </c>
      <c r="M52" s="9">
        <v>46045</v>
      </c>
      <c r="N52" s="18">
        <f t="shared" ca="1" si="1"/>
        <v>11</v>
      </c>
      <c r="O52" s="9">
        <v>46045</v>
      </c>
      <c r="P52" s="9" t="str">
        <f t="shared" si="2"/>
        <v>✅ Ja</v>
      </c>
      <c r="Q52" t="s">
        <v>836</v>
      </c>
      <c r="S52" t="s">
        <v>840</v>
      </c>
      <c r="T52" t="s">
        <v>540</v>
      </c>
      <c r="U52" t="s">
        <v>550</v>
      </c>
    </row>
    <row r="53" spans="2:21" x14ac:dyDescent="0.25">
      <c r="B53" t="s">
        <v>38</v>
      </c>
      <c r="C53" t="s">
        <v>468</v>
      </c>
      <c r="D53" t="str">
        <f>IF(_xlfn.XLOOKUP(C53, ABZ!A:A, ABZ!B:B, "", 0) = 0, "", _xlfn.XLOOKUP(C53, ABZ!A:A, ABZ!B:B, "", 0))</f>
        <v>SUP-TCO-KnowledgeManagement</v>
      </c>
      <c r="E53" t="s">
        <v>834</v>
      </c>
      <c r="F53" t="s">
        <v>527</v>
      </c>
      <c r="I53">
        <f t="shared" si="0"/>
        <v>0</v>
      </c>
      <c r="L53" s="9">
        <v>46034</v>
      </c>
      <c r="M53" s="9">
        <v>46045</v>
      </c>
      <c r="N53" s="18">
        <f t="shared" ca="1" si="1"/>
        <v>11</v>
      </c>
      <c r="O53" s="9">
        <v>46045</v>
      </c>
      <c r="P53" s="9" t="str">
        <f t="shared" si="2"/>
        <v>✅ Ja</v>
      </c>
      <c r="Q53" t="s">
        <v>836</v>
      </c>
      <c r="S53" t="s">
        <v>840</v>
      </c>
      <c r="T53" t="s">
        <v>540</v>
      </c>
      <c r="U53" t="s">
        <v>550</v>
      </c>
    </row>
    <row r="54" spans="2:21" x14ac:dyDescent="0.25">
      <c r="B54" t="s">
        <v>39</v>
      </c>
      <c r="C54" t="s">
        <v>468</v>
      </c>
      <c r="D54" t="str">
        <f>IF(_xlfn.XLOOKUP(C54, ABZ!A:A, ABZ!B:B, "", 0) = 0, "", _xlfn.XLOOKUP(C54, ABZ!A:A, ABZ!B:B, "", 0))</f>
        <v>SUP-TCO-KnowledgeManagement</v>
      </c>
      <c r="E54" t="s">
        <v>834</v>
      </c>
      <c r="F54" t="s">
        <v>527</v>
      </c>
      <c r="I54">
        <f t="shared" si="0"/>
        <v>0</v>
      </c>
      <c r="L54" s="9">
        <v>46034</v>
      </c>
      <c r="M54" s="9">
        <v>46038</v>
      </c>
      <c r="N54" s="18">
        <f t="shared" ca="1" si="1"/>
        <v>4</v>
      </c>
      <c r="O54" s="9">
        <v>46045</v>
      </c>
      <c r="P54" s="9" t="str">
        <f t="shared" si="2"/>
        <v>✅ Ja</v>
      </c>
      <c r="Q54" t="s">
        <v>839</v>
      </c>
      <c r="S54" t="s">
        <v>840</v>
      </c>
      <c r="T54" t="s">
        <v>540</v>
      </c>
      <c r="U54" t="s">
        <v>551</v>
      </c>
    </row>
    <row r="55" spans="2:21" x14ac:dyDescent="0.25">
      <c r="B55" t="s">
        <v>40</v>
      </c>
      <c r="C55" t="s">
        <v>468</v>
      </c>
      <c r="D55" t="str">
        <f>IF(_xlfn.XLOOKUP(C55, ABZ!A:A, ABZ!B:B, "", 0) = 0, "", _xlfn.XLOOKUP(C55, ABZ!A:A, ABZ!B:B, "", 0))</f>
        <v>SUP-TCO-KnowledgeManagement</v>
      </c>
      <c r="E55" t="s">
        <v>834</v>
      </c>
      <c r="F55" t="s">
        <v>527</v>
      </c>
      <c r="I55">
        <f t="shared" si="0"/>
        <v>0</v>
      </c>
      <c r="L55" s="9">
        <v>46034</v>
      </c>
      <c r="M55" s="9">
        <v>46038</v>
      </c>
      <c r="N55" s="18">
        <f t="shared" ca="1" si="1"/>
        <v>4</v>
      </c>
      <c r="O55" s="9">
        <v>46041</v>
      </c>
      <c r="P55" s="9" t="str">
        <f t="shared" si="2"/>
        <v>✅ Ja</v>
      </c>
      <c r="Q55" t="s">
        <v>839</v>
      </c>
      <c r="S55" t="s">
        <v>840</v>
      </c>
      <c r="T55" t="s">
        <v>540</v>
      </c>
      <c r="U55" t="s">
        <v>551</v>
      </c>
    </row>
    <row r="56" spans="2:21" x14ac:dyDescent="0.25">
      <c r="B56" t="s">
        <v>41</v>
      </c>
      <c r="C56" t="s">
        <v>468</v>
      </c>
      <c r="D56" t="str">
        <f>IF(_xlfn.XLOOKUP(C56, ABZ!A:A, ABZ!B:B, "", 0) = 0, "", _xlfn.XLOOKUP(C56, ABZ!A:A, ABZ!B:B, "", 0))</f>
        <v>SUP-TCO-KnowledgeManagement</v>
      </c>
      <c r="E56" t="s">
        <v>834</v>
      </c>
      <c r="F56" t="s">
        <v>527</v>
      </c>
      <c r="I56">
        <f t="shared" si="0"/>
        <v>0</v>
      </c>
      <c r="L56" s="9">
        <v>46034</v>
      </c>
      <c r="M56" s="9">
        <v>46038</v>
      </c>
      <c r="N56" s="18">
        <f t="shared" ca="1" si="1"/>
        <v>4</v>
      </c>
      <c r="O56" s="9">
        <v>46041</v>
      </c>
      <c r="P56" s="9" t="str">
        <f t="shared" si="2"/>
        <v>✅ Ja</v>
      </c>
      <c r="Q56" t="s">
        <v>840</v>
      </c>
      <c r="S56" t="s">
        <v>840</v>
      </c>
      <c r="T56" t="s">
        <v>540</v>
      </c>
      <c r="U56" t="s">
        <v>552</v>
      </c>
    </row>
    <row r="57" spans="2:21" x14ac:dyDescent="0.25">
      <c r="B57" t="s">
        <v>42</v>
      </c>
      <c r="C57" t="s">
        <v>468</v>
      </c>
      <c r="D57" t="str">
        <f>IF(_xlfn.XLOOKUP(C57, ABZ!A:A, ABZ!B:B, "", 0) = 0, "", _xlfn.XLOOKUP(C57, ABZ!A:A, ABZ!B:B, "", 0))</f>
        <v>SUP-TCO-KnowledgeManagement</v>
      </c>
      <c r="E57" t="s">
        <v>834</v>
      </c>
      <c r="F57" t="s">
        <v>527</v>
      </c>
      <c r="I57">
        <f t="shared" si="0"/>
        <v>0</v>
      </c>
      <c r="L57" s="9">
        <v>46034</v>
      </c>
      <c r="M57" s="9">
        <v>46038</v>
      </c>
      <c r="N57" s="18">
        <f t="shared" ca="1" si="1"/>
        <v>4</v>
      </c>
      <c r="O57" s="9">
        <v>46045</v>
      </c>
      <c r="P57" s="9" t="str">
        <f t="shared" si="2"/>
        <v>✅ Ja</v>
      </c>
      <c r="Q57" t="s">
        <v>840</v>
      </c>
      <c r="S57" t="s">
        <v>840</v>
      </c>
      <c r="T57" t="s">
        <v>540</v>
      </c>
      <c r="U57" t="s">
        <v>552</v>
      </c>
    </row>
    <row r="58" spans="2:21" x14ac:dyDescent="0.25">
      <c r="B58" t="s">
        <v>43</v>
      </c>
      <c r="C58" t="s">
        <v>469</v>
      </c>
      <c r="D58" t="str">
        <f>IF(_xlfn.XLOOKUP(C58, ABZ!A:A, ABZ!B:B, "", 0) = 0, "", _xlfn.XLOOKUP(C58, ABZ!A:A, ABZ!B:B, "", 0))</f>
        <v>VTR-CS-CM-Retail</v>
      </c>
      <c r="E58" t="s">
        <v>835</v>
      </c>
      <c r="F58" t="s">
        <v>527</v>
      </c>
      <c r="G58">
        <v>634</v>
      </c>
      <c r="H58">
        <v>4</v>
      </c>
      <c r="I58">
        <f t="shared" si="0"/>
        <v>1</v>
      </c>
      <c r="L58" s="9">
        <v>46035</v>
      </c>
      <c r="M58" s="9">
        <v>46035</v>
      </c>
      <c r="N58" s="18">
        <f t="shared" ca="1" si="1"/>
        <v>0</v>
      </c>
      <c r="O58" s="9">
        <v>46035</v>
      </c>
      <c r="P58" s="9" t="str">
        <f t="shared" si="2"/>
        <v>✅ Ja</v>
      </c>
      <c r="Q58" t="s">
        <v>838</v>
      </c>
      <c r="S58" t="s">
        <v>840</v>
      </c>
      <c r="T58" t="s">
        <v>540</v>
      </c>
      <c r="U58" t="s">
        <v>546</v>
      </c>
    </row>
    <row r="59" spans="2:21" x14ac:dyDescent="0.25">
      <c r="B59" t="s">
        <v>43</v>
      </c>
      <c r="C59" t="s">
        <v>469</v>
      </c>
      <c r="D59" t="str">
        <f>IF(_xlfn.XLOOKUP(C59, ABZ!A:A, ABZ!B:B, "", 0) = 0, "", _xlfn.XLOOKUP(C59, ABZ!A:A, ABZ!B:B, "", 0))</f>
        <v>VTR-CS-CM-Retail</v>
      </c>
      <c r="E59" t="s">
        <v>834</v>
      </c>
      <c r="F59" t="s">
        <v>529</v>
      </c>
      <c r="G59">
        <v>634</v>
      </c>
      <c r="I59">
        <f t="shared" si="0"/>
        <v>0</v>
      </c>
      <c r="L59" s="9">
        <v>46035</v>
      </c>
      <c r="M59" s="9">
        <v>46043</v>
      </c>
      <c r="N59" s="18">
        <f t="shared" ca="1" si="1"/>
        <v>8</v>
      </c>
      <c r="O59" s="9">
        <v>46043</v>
      </c>
      <c r="P59" s="9" t="str">
        <f t="shared" si="2"/>
        <v>✅ Ja</v>
      </c>
      <c r="Q59" t="s">
        <v>846</v>
      </c>
      <c r="S59" t="s">
        <v>840</v>
      </c>
      <c r="T59" t="s">
        <v>540</v>
      </c>
      <c r="U59" t="s">
        <v>546</v>
      </c>
    </row>
    <row r="60" spans="2:21" x14ac:dyDescent="0.25">
      <c r="B60" t="s">
        <v>43</v>
      </c>
      <c r="C60" t="s">
        <v>469</v>
      </c>
      <c r="D60" t="str">
        <f>IF(_xlfn.XLOOKUP(C60, ABZ!A:A, ABZ!B:B, "", 0) = 0, "", _xlfn.XLOOKUP(C60, ABZ!A:A, ABZ!B:B, "", 0))</f>
        <v>VTR-CS-CM-Retail</v>
      </c>
      <c r="E60" t="s">
        <v>834</v>
      </c>
      <c r="F60" t="s">
        <v>527</v>
      </c>
      <c r="G60">
        <v>634</v>
      </c>
      <c r="I60">
        <f t="shared" si="0"/>
        <v>0</v>
      </c>
      <c r="L60" s="9">
        <v>46035</v>
      </c>
      <c r="M60" s="9">
        <v>46043</v>
      </c>
      <c r="N60" s="18">
        <f t="shared" ca="1" si="1"/>
        <v>8</v>
      </c>
      <c r="O60" s="9">
        <v>46043</v>
      </c>
      <c r="P60" s="9" t="str">
        <f t="shared" si="2"/>
        <v>✅ Ja</v>
      </c>
      <c r="Q60" t="s">
        <v>843</v>
      </c>
      <c r="S60" t="s">
        <v>840</v>
      </c>
      <c r="T60" t="s">
        <v>540</v>
      </c>
      <c r="U60" t="s">
        <v>546</v>
      </c>
    </row>
    <row r="61" spans="2:21" x14ac:dyDescent="0.25">
      <c r="B61" t="s">
        <v>43</v>
      </c>
      <c r="C61" t="s">
        <v>469</v>
      </c>
      <c r="D61" t="str">
        <f>IF(_xlfn.XLOOKUP(C61, ABZ!A:A, ABZ!B:B, "", 0) = 0, "", _xlfn.XLOOKUP(C61, ABZ!A:A, ABZ!B:B, "", 0))</f>
        <v>VTR-CS-CM-Retail</v>
      </c>
      <c r="E61" t="s">
        <v>834</v>
      </c>
      <c r="F61" t="s">
        <v>527</v>
      </c>
      <c r="G61">
        <v>634</v>
      </c>
      <c r="I61">
        <f t="shared" si="0"/>
        <v>0</v>
      </c>
      <c r="L61" s="9">
        <v>46035</v>
      </c>
      <c r="M61" s="9">
        <v>46043</v>
      </c>
      <c r="N61" s="18">
        <f t="shared" ca="1" si="1"/>
        <v>8</v>
      </c>
      <c r="O61" s="9">
        <v>46043</v>
      </c>
      <c r="P61" s="9" t="str">
        <f t="shared" si="2"/>
        <v>✅ Ja</v>
      </c>
      <c r="Q61" t="s">
        <v>836</v>
      </c>
      <c r="S61" t="s">
        <v>840</v>
      </c>
      <c r="T61" t="s">
        <v>540</v>
      </c>
      <c r="U61" t="s">
        <v>546</v>
      </c>
    </row>
    <row r="62" spans="2:21" x14ac:dyDescent="0.25">
      <c r="B62" t="s">
        <v>43</v>
      </c>
      <c r="C62" t="s">
        <v>469</v>
      </c>
      <c r="D62" t="str">
        <f>IF(_xlfn.XLOOKUP(C62, ABZ!A:A, ABZ!B:B, "", 0) = 0, "", _xlfn.XLOOKUP(C62, ABZ!A:A, ABZ!B:B, "", 0))</f>
        <v>VTR-CS-CM-Retail</v>
      </c>
      <c r="E62" t="s">
        <v>834</v>
      </c>
      <c r="F62" t="s">
        <v>530</v>
      </c>
      <c r="G62">
        <v>634</v>
      </c>
      <c r="I62">
        <f t="shared" si="0"/>
        <v>0</v>
      </c>
      <c r="L62" s="9">
        <v>46035</v>
      </c>
      <c r="M62" s="9">
        <v>46043</v>
      </c>
      <c r="N62" s="18">
        <f t="shared" ca="1" si="1"/>
        <v>8</v>
      </c>
      <c r="O62" s="9">
        <v>46043</v>
      </c>
      <c r="P62" s="9" t="str">
        <f t="shared" si="2"/>
        <v>✅ Ja</v>
      </c>
      <c r="Q62" t="s">
        <v>844</v>
      </c>
      <c r="R62" t="s">
        <v>839</v>
      </c>
      <c r="S62" t="s">
        <v>840</v>
      </c>
      <c r="T62" t="s">
        <v>540</v>
      </c>
      <c r="U62" t="s">
        <v>546</v>
      </c>
    </row>
    <row r="63" spans="2:21" x14ac:dyDescent="0.25">
      <c r="B63" t="s">
        <v>43</v>
      </c>
      <c r="C63" t="s">
        <v>469</v>
      </c>
      <c r="D63" t="str">
        <f>IF(_xlfn.XLOOKUP(C63, ABZ!A:A, ABZ!B:B, "", 0) = 0, "", _xlfn.XLOOKUP(C63, ABZ!A:A, ABZ!B:B, "", 0))</f>
        <v>VTR-CS-CM-Retail</v>
      </c>
      <c r="E63" t="s">
        <v>834</v>
      </c>
      <c r="F63" t="s">
        <v>527</v>
      </c>
      <c r="G63">
        <v>634</v>
      </c>
      <c r="I63">
        <f t="shared" si="0"/>
        <v>0</v>
      </c>
      <c r="L63" s="9">
        <v>46035</v>
      </c>
      <c r="M63" s="9">
        <v>46043</v>
      </c>
      <c r="N63" s="18">
        <f t="shared" ca="1" si="1"/>
        <v>8</v>
      </c>
      <c r="O63" s="9">
        <v>46043</v>
      </c>
      <c r="P63" s="9" t="str">
        <f t="shared" si="2"/>
        <v>✅ Ja</v>
      </c>
      <c r="Q63" t="s">
        <v>849</v>
      </c>
      <c r="R63" t="s">
        <v>841</v>
      </c>
      <c r="S63" t="s">
        <v>840</v>
      </c>
      <c r="T63" t="s">
        <v>540</v>
      </c>
      <c r="U63" t="s">
        <v>546</v>
      </c>
    </row>
    <row r="64" spans="2:21" x14ac:dyDescent="0.25">
      <c r="B64" t="s">
        <v>44</v>
      </c>
      <c r="C64" t="s">
        <v>466</v>
      </c>
      <c r="D64" t="str">
        <f>IF(_xlfn.XLOOKUP(C64, ABZ!A:A, ABZ!B:B, "", 0) = 0, "", _xlfn.XLOOKUP(C64, ABZ!A:A, ABZ!B:B, "", 0))</f>
        <v>VTR-CS-SER-PartnerCommunication</v>
      </c>
      <c r="E64" t="s">
        <v>834</v>
      </c>
      <c r="F64" t="s">
        <v>530</v>
      </c>
      <c r="I64">
        <f t="shared" si="0"/>
        <v>0</v>
      </c>
      <c r="L64" s="9">
        <v>46035</v>
      </c>
      <c r="M64" s="9">
        <v>46038</v>
      </c>
      <c r="N64" s="18">
        <f t="shared" ca="1" si="1"/>
        <v>3</v>
      </c>
      <c r="O64" s="9">
        <v>46038</v>
      </c>
      <c r="P64" s="9" t="str">
        <f t="shared" si="2"/>
        <v>✅ Ja</v>
      </c>
      <c r="Q64" t="s">
        <v>844</v>
      </c>
      <c r="S64" t="s">
        <v>838</v>
      </c>
      <c r="T64" t="s">
        <v>540</v>
      </c>
      <c r="U64" t="s">
        <v>546</v>
      </c>
    </row>
    <row r="65" spans="2:21" x14ac:dyDescent="0.25">
      <c r="B65" t="s">
        <v>44</v>
      </c>
      <c r="C65" t="s">
        <v>466</v>
      </c>
      <c r="D65" t="str">
        <f>IF(_xlfn.XLOOKUP(C65, ABZ!A:A, ABZ!B:B, "", 0) = 0, "", _xlfn.XLOOKUP(C65, ABZ!A:A, ABZ!B:B, "", 0))</f>
        <v>VTR-CS-SER-PartnerCommunication</v>
      </c>
      <c r="E65" t="s">
        <v>834</v>
      </c>
      <c r="F65" t="s">
        <v>527</v>
      </c>
      <c r="I65">
        <f t="shared" si="0"/>
        <v>0</v>
      </c>
      <c r="L65" s="9">
        <v>46035</v>
      </c>
      <c r="M65" s="9">
        <v>46038</v>
      </c>
      <c r="N65" s="18">
        <f t="shared" ca="1" si="1"/>
        <v>3</v>
      </c>
      <c r="O65" s="9">
        <v>46038</v>
      </c>
      <c r="P65" s="9" t="str">
        <f t="shared" si="2"/>
        <v>✅ Ja</v>
      </c>
      <c r="Q65" t="s">
        <v>847</v>
      </c>
      <c r="S65" t="s">
        <v>838</v>
      </c>
      <c r="T65" t="s">
        <v>540</v>
      </c>
      <c r="U65" t="s">
        <v>546</v>
      </c>
    </row>
    <row r="66" spans="2:21" x14ac:dyDescent="0.25">
      <c r="B66" t="s">
        <v>44</v>
      </c>
      <c r="C66" t="s">
        <v>466</v>
      </c>
      <c r="D66" t="str">
        <f>IF(_xlfn.XLOOKUP(C66, ABZ!A:A, ABZ!B:B, "", 0) = 0, "", _xlfn.XLOOKUP(C66, ABZ!A:A, ABZ!B:B, "", 0))</f>
        <v>VTR-CS-SER-PartnerCommunication</v>
      </c>
      <c r="E66" t="s">
        <v>834</v>
      </c>
      <c r="F66" t="s">
        <v>527</v>
      </c>
      <c r="I66">
        <f t="shared" si="0"/>
        <v>0</v>
      </c>
      <c r="L66" s="9">
        <v>46035</v>
      </c>
      <c r="M66" s="9">
        <v>46038</v>
      </c>
      <c r="N66" s="18">
        <f t="shared" ca="1" si="1"/>
        <v>3</v>
      </c>
      <c r="O66" s="9">
        <v>46038</v>
      </c>
      <c r="P66" s="9" t="str">
        <f t="shared" si="2"/>
        <v>✅ Ja</v>
      </c>
      <c r="Q66" t="s">
        <v>836</v>
      </c>
      <c r="S66" t="s">
        <v>838</v>
      </c>
      <c r="T66" t="s">
        <v>540</v>
      </c>
      <c r="U66" t="s">
        <v>546</v>
      </c>
    </row>
    <row r="67" spans="2:21" x14ac:dyDescent="0.25">
      <c r="B67" t="s">
        <v>45</v>
      </c>
      <c r="C67" t="s">
        <v>470</v>
      </c>
      <c r="D67" t="str">
        <f>IF(_xlfn.XLOOKUP(C67, ABZ!A:A, ABZ!B:B, "", 0) = 0, "", _xlfn.XLOOKUP(C67, ABZ!A:A, ABZ!B:B, "", 0))</f>
        <v>VTR-CS-ChannelMarketing-CM</v>
      </c>
      <c r="E67" t="s">
        <v>834</v>
      </c>
      <c r="F67" t="s">
        <v>529</v>
      </c>
      <c r="I67">
        <f t="shared" ref="I67:I130" si="3">IF(AND(O67&lt;&gt;"",L67&lt;&gt;""),IF((O67-L67)&lt;=2,1,0),0)</f>
        <v>0</v>
      </c>
      <c r="L67" s="9">
        <v>46036</v>
      </c>
      <c r="M67" s="9">
        <v>46041</v>
      </c>
      <c r="N67" s="18">
        <f t="shared" ref="N67:N130" ca="1" si="4">IF(M67&lt;&gt;"",M67-L67,TODAY()-L67)</f>
        <v>5</v>
      </c>
      <c r="O67" s="9">
        <v>46042</v>
      </c>
      <c r="P67" s="9" t="str">
        <f t="shared" ref="P67:P130" si="5">IF(M67="","⏳ Offen",IF(M67&lt;=O67,"✅ Ja","❌ Nein"))</f>
        <v>✅ Ja</v>
      </c>
      <c r="Q67" t="s">
        <v>846</v>
      </c>
      <c r="S67" t="s">
        <v>839</v>
      </c>
      <c r="T67" t="s">
        <v>540</v>
      </c>
      <c r="U67" t="s">
        <v>546</v>
      </c>
    </row>
    <row r="68" spans="2:21" x14ac:dyDescent="0.25">
      <c r="B68" t="s">
        <v>45</v>
      </c>
      <c r="C68" t="s">
        <v>470</v>
      </c>
      <c r="D68" t="str">
        <f>IF(_xlfn.XLOOKUP(C68, ABZ!A:A, ABZ!B:B, "", 0) = 0, "", _xlfn.XLOOKUP(C68, ABZ!A:A, ABZ!B:B, "", 0))</f>
        <v>VTR-CS-ChannelMarketing-CM</v>
      </c>
      <c r="E68" t="s">
        <v>834</v>
      </c>
      <c r="F68" t="s">
        <v>527</v>
      </c>
      <c r="I68">
        <f t="shared" si="3"/>
        <v>0</v>
      </c>
      <c r="L68" s="9">
        <v>46036</v>
      </c>
      <c r="M68" s="9">
        <v>46041</v>
      </c>
      <c r="N68" s="18">
        <f t="shared" ca="1" si="4"/>
        <v>5</v>
      </c>
      <c r="O68" s="9">
        <v>46042</v>
      </c>
      <c r="P68" s="9" t="str">
        <f t="shared" si="5"/>
        <v>✅ Ja</v>
      </c>
      <c r="Q68" t="s">
        <v>843</v>
      </c>
      <c r="S68" t="s">
        <v>839</v>
      </c>
      <c r="T68" t="s">
        <v>540</v>
      </c>
      <c r="U68" t="s">
        <v>546</v>
      </c>
    </row>
    <row r="69" spans="2:21" x14ac:dyDescent="0.25">
      <c r="B69" t="s">
        <v>45</v>
      </c>
      <c r="C69" t="s">
        <v>470</v>
      </c>
      <c r="D69" t="str">
        <f>IF(_xlfn.XLOOKUP(C69, ABZ!A:A, ABZ!B:B, "", 0) = 0, "", _xlfn.XLOOKUP(C69, ABZ!A:A, ABZ!B:B, "", 0))</f>
        <v>VTR-CS-ChannelMarketing-CM</v>
      </c>
      <c r="E69" t="s">
        <v>834</v>
      </c>
      <c r="F69" t="s">
        <v>527</v>
      </c>
      <c r="I69">
        <f t="shared" si="3"/>
        <v>0</v>
      </c>
      <c r="L69" s="9">
        <v>46036</v>
      </c>
      <c r="M69" s="9">
        <v>46041</v>
      </c>
      <c r="N69" s="18">
        <f t="shared" ca="1" si="4"/>
        <v>5</v>
      </c>
      <c r="O69" s="9">
        <v>46042</v>
      </c>
      <c r="P69" s="9" t="str">
        <f t="shared" si="5"/>
        <v>✅ Ja</v>
      </c>
      <c r="Q69" t="s">
        <v>849</v>
      </c>
      <c r="R69" t="s">
        <v>841</v>
      </c>
      <c r="S69" t="s">
        <v>839</v>
      </c>
      <c r="T69" t="s">
        <v>540</v>
      </c>
      <c r="U69" t="s">
        <v>553</v>
      </c>
    </row>
    <row r="70" spans="2:21" x14ac:dyDescent="0.25">
      <c r="B70" t="s">
        <v>45</v>
      </c>
      <c r="C70" t="s">
        <v>470</v>
      </c>
      <c r="D70" t="str">
        <f>IF(_xlfn.XLOOKUP(C70, ABZ!A:A, ABZ!B:B, "", 0) = 0, "", _xlfn.XLOOKUP(C70, ABZ!A:A, ABZ!B:B, "", 0))</f>
        <v>VTR-CS-ChannelMarketing-CM</v>
      </c>
      <c r="E70" t="s">
        <v>834</v>
      </c>
      <c r="F70" t="s">
        <v>527</v>
      </c>
      <c r="I70">
        <f t="shared" si="3"/>
        <v>0</v>
      </c>
      <c r="L70" s="9">
        <v>46036</v>
      </c>
      <c r="M70" s="9">
        <v>46041</v>
      </c>
      <c r="N70" s="18">
        <f t="shared" ca="1" si="4"/>
        <v>5</v>
      </c>
      <c r="O70" s="9">
        <v>46042</v>
      </c>
      <c r="P70" s="9" t="str">
        <f t="shared" si="5"/>
        <v>✅ Ja</v>
      </c>
      <c r="Q70" t="s">
        <v>836</v>
      </c>
      <c r="S70" t="s">
        <v>839</v>
      </c>
      <c r="T70" t="s">
        <v>540</v>
      </c>
      <c r="U70" t="s">
        <v>546</v>
      </c>
    </row>
    <row r="71" spans="2:21" x14ac:dyDescent="0.25">
      <c r="B71" t="s">
        <v>46</v>
      </c>
      <c r="C71" t="s">
        <v>471</v>
      </c>
      <c r="D71" t="str">
        <f>IF(_xlfn.XLOOKUP(C71, ABZ!A:A, ABZ!B:B, "", 0) = 0, "", _xlfn.XLOOKUP(C71, ABZ!A:A, ABZ!B:B, "", 0))</f>
        <v>D2C-MarketingContent</v>
      </c>
      <c r="E71" t="s">
        <v>835</v>
      </c>
      <c r="F71" t="s">
        <v>527</v>
      </c>
      <c r="H71">
        <v>2</v>
      </c>
      <c r="I71">
        <f t="shared" si="3"/>
        <v>0</v>
      </c>
      <c r="L71" s="9">
        <v>46036</v>
      </c>
      <c r="M71" s="9">
        <v>46045</v>
      </c>
      <c r="N71" s="18">
        <f t="shared" ca="1" si="4"/>
        <v>9</v>
      </c>
      <c r="O71" s="9">
        <v>46045</v>
      </c>
      <c r="P71" s="9" t="str">
        <f t="shared" si="5"/>
        <v>✅ Ja</v>
      </c>
      <c r="Q71" t="s">
        <v>838</v>
      </c>
      <c r="S71" t="s">
        <v>839</v>
      </c>
      <c r="T71" t="s">
        <v>540</v>
      </c>
      <c r="U71" t="s">
        <v>546</v>
      </c>
    </row>
    <row r="72" spans="2:21" x14ac:dyDescent="0.25">
      <c r="B72" t="s">
        <v>46</v>
      </c>
      <c r="C72" t="s">
        <v>471</v>
      </c>
      <c r="D72" t="str">
        <f>IF(_xlfn.XLOOKUP(C72, ABZ!A:A, ABZ!B:B, "", 0) = 0, "", _xlfn.XLOOKUP(C72, ABZ!A:A, ABZ!B:B, "", 0))</f>
        <v>D2C-MarketingContent</v>
      </c>
      <c r="E72" t="s">
        <v>834</v>
      </c>
      <c r="F72" t="s">
        <v>528</v>
      </c>
      <c r="I72">
        <f t="shared" si="3"/>
        <v>0</v>
      </c>
      <c r="L72" s="9">
        <v>46036</v>
      </c>
      <c r="M72" s="9">
        <v>46045</v>
      </c>
      <c r="N72" s="18">
        <f t="shared" ca="1" si="4"/>
        <v>9</v>
      </c>
      <c r="O72" s="9">
        <v>46045</v>
      </c>
      <c r="P72" s="9" t="str">
        <f t="shared" si="5"/>
        <v>✅ Ja</v>
      </c>
      <c r="Q72" t="s">
        <v>841</v>
      </c>
      <c r="S72" t="s">
        <v>839</v>
      </c>
      <c r="T72" t="s">
        <v>540</v>
      </c>
      <c r="U72" t="s">
        <v>546</v>
      </c>
    </row>
    <row r="73" spans="2:21" x14ac:dyDescent="0.25">
      <c r="B73" t="s">
        <v>46</v>
      </c>
      <c r="C73" t="s">
        <v>471</v>
      </c>
      <c r="D73" t="str">
        <f>IF(_xlfn.XLOOKUP(C73, ABZ!A:A, ABZ!B:B, "", 0) = 0, "", _xlfn.XLOOKUP(C73, ABZ!A:A, ABZ!B:B, "", 0))</f>
        <v>D2C-MarketingContent</v>
      </c>
      <c r="E73" t="s">
        <v>834</v>
      </c>
      <c r="F73" t="s">
        <v>527</v>
      </c>
      <c r="I73">
        <f t="shared" si="3"/>
        <v>0</v>
      </c>
      <c r="L73" s="9">
        <v>46036</v>
      </c>
      <c r="M73" s="9">
        <v>46045</v>
      </c>
      <c r="N73" s="18">
        <f t="shared" ca="1" si="4"/>
        <v>9</v>
      </c>
      <c r="O73" s="9">
        <v>46045</v>
      </c>
      <c r="P73" s="9" t="str">
        <f t="shared" si="5"/>
        <v>✅ Ja</v>
      </c>
      <c r="Q73" t="s">
        <v>843</v>
      </c>
      <c r="S73" t="s">
        <v>839</v>
      </c>
      <c r="T73" t="s">
        <v>540</v>
      </c>
      <c r="U73" t="s">
        <v>546</v>
      </c>
    </row>
    <row r="74" spans="2:21" x14ac:dyDescent="0.25">
      <c r="B74" t="s">
        <v>47</v>
      </c>
      <c r="C74" t="s">
        <v>463</v>
      </c>
      <c r="D74" t="str">
        <f>IF(_xlfn.XLOOKUP(C74, ABZ!A:A, ABZ!B:B, "", 0) = 0, "", _xlfn.XLOOKUP(C74, ABZ!A:A, ABZ!B:B, "", 0))</f>
        <v>D2C-MarketingContent</v>
      </c>
      <c r="E74" t="s">
        <v>834</v>
      </c>
      <c r="F74" t="s">
        <v>529</v>
      </c>
      <c r="I74">
        <f t="shared" si="3"/>
        <v>0</v>
      </c>
      <c r="L74" s="9">
        <v>46037</v>
      </c>
      <c r="M74" s="9">
        <v>46044</v>
      </c>
      <c r="N74" s="18">
        <f t="shared" ca="1" si="4"/>
        <v>7</v>
      </c>
      <c r="O74" s="9">
        <v>46044</v>
      </c>
      <c r="P74" s="9" t="str">
        <f t="shared" si="5"/>
        <v>✅ Ja</v>
      </c>
      <c r="Q74" t="s">
        <v>837</v>
      </c>
      <c r="S74" t="s">
        <v>839</v>
      </c>
      <c r="T74" t="s">
        <v>540</v>
      </c>
      <c r="U74" t="s">
        <v>546</v>
      </c>
    </row>
    <row r="75" spans="2:21" x14ac:dyDescent="0.25">
      <c r="B75" t="s">
        <v>47</v>
      </c>
      <c r="C75" t="s">
        <v>463</v>
      </c>
      <c r="D75" t="str">
        <f>IF(_xlfn.XLOOKUP(C75, ABZ!A:A, ABZ!B:B, "", 0) = 0, "", _xlfn.XLOOKUP(C75, ABZ!A:A, ABZ!B:B, "", 0))</f>
        <v>D2C-MarketingContent</v>
      </c>
      <c r="E75" t="s">
        <v>834</v>
      </c>
      <c r="F75" t="s">
        <v>527</v>
      </c>
      <c r="I75">
        <f t="shared" si="3"/>
        <v>0</v>
      </c>
      <c r="L75" s="9">
        <v>46037</v>
      </c>
      <c r="M75" s="9">
        <v>46044</v>
      </c>
      <c r="N75" s="18">
        <f t="shared" ca="1" si="4"/>
        <v>7</v>
      </c>
      <c r="O75" s="9">
        <v>46044</v>
      </c>
      <c r="P75" s="9" t="str">
        <f t="shared" si="5"/>
        <v>✅ Ja</v>
      </c>
      <c r="Q75" t="s">
        <v>849</v>
      </c>
      <c r="R75" t="s">
        <v>841</v>
      </c>
      <c r="S75" t="s">
        <v>839</v>
      </c>
      <c r="T75" t="s">
        <v>540</v>
      </c>
      <c r="U75" t="s">
        <v>553</v>
      </c>
    </row>
    <row r="76" spans="2:21" x14ac:dyDescent="0.25">
      <c r="B76" t="s">
        <v>47</v>
      </c>
      <c r="C76" t="s">
        <v>463</v>
      </c>
      <c r="D76" t="str">
        <f>IF(_xlfn.XLOOKUP(C76, ABZ!A:A, ABZ!B:B, "", 0) = 0, "", _xlfn.XLOOKUP(C76, ABZ!A:A, ABZ!B:B, "", 0))</f>
        <v>D2C-MarketingContent</v>
      </c>
      <c r="E76" t="s">
        <v>834</v>
      </c>
      <c r="F76" t="s">
        <v>527</v>
      </c>
      <c r="I76">
        <f t="shared" si="3"/>
        <v>0</v>
      </c>
      <c r="L76" s="9">
        <v>46037</v>
      </c>
      <c r="M76" s="9">
        <v>46044</v>
      </c>
      <c r="N76" s="18">
        <f t="shared" ca="1" si="4"/>
        <v>7</v>
      </c>
      <c r="O76" s="9">
        <v>46044</v>
      </c>
      <c r="P76" s="9" t="str">
        <f t="shared" si="5"/>
        <v>✅ Ja</v>
      </c>
      <c r="Q76" t="s">
        <v>836</v>
      </c>
      <c r="S76" t="s">
        <v>839</v>
      </c>
      <c r="T76" t="s">
        <v>540</v>
      </c>
      <c r="U76" t="s">
        <v>546</v>
      </c>
    </row>
    <row r="77" spans="2:21" x14ac:dyDescent="0.25">
      <c r="B77" t="s">
        <v>47</v>
      </c>
      <c r="C77" t="s">
        <v>463</v>
      </c>
      <c r="D77" t="str">
        <f>IF(_xlfn.XLOOKUP(C77, ABZ!A:A, ABZ!B:B, "", 0) = 0, "", _xlfn.XLOOKUP(C77, ABZ!A:A, ABZ!B:B, "", 0))</f>
        <v>D2C-MarketingContent</v>
      </c>
      <c r="E77" t="s">
        <v>834</v>
      </c>
      <c r="F77" t="s">
        <v>530</v>
      </c>
      <c r="I77">
        <f t="shared" si="3"/>
        <v>0</v>
      </c>
      <c r="L77" s="9">
        <v>46037</v>
      </c>
      <c r="M77" s="9">
        <v>46044</v>
      </c>
      <c r="N77" s="18">
        <f t="shared" ca="1" si="4"/>
        <v>7</v>
      </c>
      <c r="O77" s="9">
        <v>46044</v>
      </c>
      <c r="P77" s="9" t="str">
        <f t="shared" si="5"/>
        <v>✅ Ja</v>
      </c>
      <c r="Q77" t="s">
        <v>844</v>
      </c>
      <c r="S77" t="s">
        <v>839</v>
      </c>
      <c r="T77" t="s">
        <v>540</v>
      </c>
      <c r="U77" t="s">
        <v>546</v>
      </c>
    </row>
    <row r="78" spans="2:21" x14ac:dyDescent="0.25">
      <c r="B78" t="s">
        <v>48</v>
      </c>
      <c r="C78" t="s">
        <v>472</v>
      </c>
      <c r="D78" t="str">
        <f>IF(_xlfn.XLOOKUP(C78, ABZ!A:A, ABZ!B:B, "", 0) = 0, "", _xlfn.XLOOKUP(C78, ABZ!A:A, ABZ!B:B, "", 0))</f>
        <v>D2C-MarketingContent</v>
      </c>
      <c r="E78" t="s">
        <v>834</v>
      </c>
      <c r="F78" t="s">
        <v>529</v>
      </c>
      <c r="G78">
        <v>2040</v>
      </c>
      <c r="I78">
        <f t="shared" si="3"/>
        <v>0</v>
      </c>
      <c r="L78" s="9">
        <v>46037</v>
      </c>
      <c r="M78" s="9">
        <v>46042</v>
      </c>
      <c r="N78" s="18">
        <f t="shared" ca="1" si="4"/>
        <v>5</v>
      </c>
      <c r="O78" s="9">
        <v>46042</v>
      </c>
      <c r="P78" s="9" t="str">
        <f t="shared" si="5"/>
        <v>✅ Ja</v>
      </c>
      <c r="Q78" t="s">
        <v>837</v>
      </c>
      <c r="S78" t="s">
        <v>838</v>
      </c>
      <c r="T78" t="s">
        <v>540</v>
      </c>
      <c r="U78" t="s">
        <v>554</v>
      </c>
    </row>
    <row r="79" spans="2:21" x14ac:dyDescent="0.25">
      <c r="B79" t="s">
        <v>48</v>
      </c>
      <c r="C79" t="s">
        <v>472</v>
      </c>
      <c r="D79" t="str">
        <f>IF(_xlfn.XLOOKUP(C79, ABZ!A:A, ABZ!B:B, "", 0) = 0, "", _xlfn.XLOOKUP(C79, ABZ!A:A, ABZ!B:B, "", 0))</f>
        <v>D2C-MarketingContent</v>
      </c>
      <c r="E79" t="s">
        <v>834</v>
      </c>
      <c r="F79" t="s">
        <v>530</v>
      </c>
      <c r="G79">
        <v>2040</v>
      </c>
      <c r="I79">
        <f t="shared" si="3"/>
        <v>0</v>
      </c>
      <c r="L79" s="9">
        <v>46037</v>
      </c>
      <c r="M79" s="9">
        <v>46042</v>
      </c>
      <c r="N79" s="18">
        <f t="shared" ca="1" si="4"/>
        <v>5</v>
      </c>
      <c r="O79" s="9">
        <v>46042</v>
      </c>
      <c r="P79" s="9" t="str">
        <f t="shared" si="5"/>
        <v>✅ Ja</v>
      </c>
      <c r="Q79" t="s">
        <v>844</v>
      </c>
      <c r="S79" t="s">
        <v>838</v>
      </c>
      <c r="T79" t="s">
        <v>540</v>
      </c>
      <c r="U79" t="s">
        <v>554</v>
      </c>
    </row>
    <row r="80" spans="2:21" x14ac:dyDescent="0.25">
      <c r="B80" t="s">
        <v>48</v>
      </c>
      <c r="C80" t="s">
        <v>472</v>
      </c>
      <c r="D80" t="str">
        <f>IF(_xlfn.XLOOKUP(C80, ABZ!A:A, ABZ!B:B, "", 0) = 0, "", _xlfn.XLOOKUP(C80, ABZ!A:A, ABZ!B:B, "", 0))</f>
        <v>D2C-MarketingContent</v>
      </c>
      <c r="E80" t="s">
        <v>834</v>
      </c>
      <c r="F80" t="s">
        <v>527</v>
      </c>
      <c r="G80">
        <v>2040</v>
      </c>
      <c r="I80">
        <f t="shared" si="3"/>
        <v>0</v>
      </c>
      <c r="L80" s="9">
        <v>46037</v>
      </c>
      <c r="M80" s="9">
        <v>46042</v>
      </c>
      <c r="N80" s="18">
        <f t="shared" ca="1" si="4"/>
        <v>5</v>
      </c>
      <c r="O80" s="9">
        <v>46042</v>
      </c>
      <c r="P80" s="9" t="str">
        <f t="shared" si="5"/>
        <v>✅ Ja</v>
      </c>
      <c r="Q80" t="s">
        <v>843</v>
      </c>
      <c r="S80" t="s">
        <v>838</v>
      </c>
      <c r="T80" t="s">
        <v>540</v>
      </c>
      <c r="U80" t="s">
        <v>554</v>
      </c>
    </row>
    <row r="81" spans="2:21" x14ac:dyDescent="0.25">
      <c r="B81" t="s">
        <v>48</v>
      </c>
      <c r="C81" t="s">
        <v>472</v>
      </c>
      <c r="D81" t="str">
        <f>IF(_xlfn.XLOOKUP(C81, ABZ!A:A, ABZ!B:B, "", 0) = 0, "", _xlfn.XLOOKUP(C81, ABZ!A:A, ABZ!B:B, "", 0))</f>
        <v>D2C-MarketingContent</v>
      </c>
      <c r="E81" t="s">
        <v>834</v>
      </c>
      <c r="F81" t="s">
        <v>527</v>
      </c>
      <c r="G81">
        <v>2040</v>
      </c>
      <c r="I81">
        <f t="shared" si="3"/>
        <v>0</v>
      </c>
      <c r="L81" s="9">
        <v>46037</v>
      </c>
      <c r="M81" s="9">
        <v>46042</v>
      </c>
      <c r="N81" s="18">
        <f t="shared" ca="1" si="4"/>
        <v>5</v>
      </c>
      <c r="O81" s="9">
        <v>46042</v>
      </c>
      <c r="P81" s="9" t="str">
        <f t="shared" si="5"/>
        <v>✅ Ja</v>
      </c>
      <c r="Q81" t="s">
        <v>847</v>
      </c>
      <c r="S81" t="s">
        <v>838</v>
      </c>
      <c r="T81" t="s">
        <v>540</v>
      </c>
      <c r="U81" t="s">
        <v>554</v>
      </c>
    </row>
    <row r="82" spans="2:21" x14ac:dyDescent="0.25">
      <c r="B82" t="s">
        <v>48</v>
      </c>
      <c r="C82" t="s">
        <v>472</v>
      </c>
      <c r="D82" t="str">
        <f>IF(_xlfn.XLOOKUP(C82, ABZ!A:A, ABZ!B:B, "", 0) = 0, "", _xlfn.XLOOKUP(C82, ABZ!A:A, ABZ!B:B, "", 0))</f>
        <v>D2C-MarketingContent</v>
      </c>
      <c r="E82" t="s">
        <v>834</v>
      </c>
      <c r="F82" t="s">
        <v>527</v>
      </c>
      <c r="G82">
        <v>2040</v>
      </c>
      <c r="I82">
        <f t="shared" si="3"/>
        <v>0</v>
      </c>
      <c r="L82" s="9">
        <v>46037</v>
      </c>
      <c r="M82" s="9">
        <v>46042</v>
      </c>
      <c r="N82" s="18">
        <f t="shared" ca="1" si="4"/>
        <v>5</v>
      </c>
      <c r="O82" s="9">
        <v>46042</v>
      </c>
      <c r="P82" s="9" t="str">
        <f t="shared" si="5"/>
        <v>✅ Ja</v>
      </c>
      <c r="Q82" t="s">
        <v>836</v>
      </c>
      <c r="S82" t="s">
        <v>838</v>
      </c>
      <c r="T82" t="s">
        <v>540</v>
      </c>
      <c r="U82" t="s">
        <v>554</v>
      </c>
    </row>
    <row r="83" spans="2:21" x14ac:dyDescent="0.25">
      <c r="B83" t="s">
        <v>48</v>
      </c>
      <c r="C83" t="s">
        <v>472</v>
      </c>
      <c r="D83" t="str">
        <f>IF(_xlfn.XLOOKUP(C83, ABZ!A:A, ABZ!B:B, "", 0) = 0, "", _xlfn.XLOOKUP(C83, ABZ!A:A, ABZ!B:B, "", 0))</f>
        <v>D2C-MarketingContent</v>
      </c>
      <c r="E83" t="s">
        <v>834</v>
      </c>
      <c r="F83" t="s">
        <v>535</v>
      </c>
      <c r="G83">
        <v>2040</v>
      </c>
      <c r="I83">
        <f t="shared" si="3"/>
        <v>0</v>
      </c>
      <c r="L83" s="9">
        <v>46037</v>
      </c>
      <c r="M83" s="9">
        <v>46043</v>
      </c>
      <c r="N83" s="18">
        <f t="shared" ca="1" si="4"/>
        <v>6</v>
      </c>
      <c r="O83" s="9">
        <v>46043</v>
      </c>
      <c r="P83" s="9" t="str">
        <f t="shared" si="5"/>
        <v>✅ Ja</v>
      </c>
      <c r="Q83" t="s">
        <v>842</v>
      </c>
      <c r="S83" t="s">
        <v>838</v>
      </c>
      <c r="T83" t="s">
        <v>540</v>
      </c>
      <c r="U83" t="s">
        <v>554</v>
      </c>
    </row>
    <row r="84" spans="2:21" x14ac:dyDescent="0.25">
      <c r="B84" t="s">
        <v>49</v>
      </c>
      <c r="C84" t="s">
        <v>473</v>
      </c>
      <c r="D84" t="str">
        <f>IF(_xlfn.XLOOKUP(C84, ABZ!A:A, ABZ!B:B, "", 0) = 0, "", _xlfn.XLOOKUP(C84, ABZ!A:A, ABZ!B:B, "", 0))</f>
        <v>ENT-UIC-iOS</v>
      </c>
      <c r="E84" t="s">
        <v>835</v>
      </c>
      <c r="F84" t="s">
        <v>527</v>
      </c>
      <c r="H84">
        <v>1</v>
      </c>
      <c r="I84">
        <f t="shared" si="3"/>
        <v>1</v>
      </c>
      <c r="J84" t="s">
        <v>873</v>
      </c>
      <c r="K84">
        <v>153377</v>
      </c>
      <c r="L84" s="9">
        <v>46037</v>
      </c>
      <c r="M84" s="9">
        <v>46038</v>
      </c>
      <c r="N84" s="18">
        <f t="shared" ca="1" si="4"/>
        <v>1</v>
      </c>
      <c r="O84" s="9">
        <v>46038</v>
      </c>
      <c r="P84" s="9" t="str">
        <f t="shared" si="5"/>
        <v>✅ Ja</v>
      </c>
      <c r="Q84" t="s">
        <v>838</v>
      </c>
      <c r="S84" t="s">
        <v>838</v>
      </c>
      <c r="T84" t="s">
        <v>540</v>
      </c>
      <c r="U84" t="s">
        <v>555</v>
      </c>
    </row>
    <row r="85" spans="2:21" x14ac:dyDescent="0.25">
      <c r="B85" t="s">
        <v>50</v>
      </c>
      <c r="C85" t="s">
        <v>466</v>
      </c>
      <c r="D85" t="str">
        <f>IF(_xlfn.XLOOKUP(C85, ABZ!A:A, ABZ!B:B, "", 0) = 0, "", _xlfn.XLOOKUP(C85, ABZ!A:A, ABZ!B:B, "", 0))</f>
        <v>VTR-CS-SER-PartnerCommunication</v>
      </c>
      <c r="E85" t="s">
        <v>834</v>
      </c>
      <c r="F85" t="s">
        <v>527</v>
      </c>
      <c r="I85">
        <f t="shared" si="3"/>
        <v>0</v>
      </c>
      <c r="L85" s="9">
        <v>46038</v>
      </c>
      <c r="M85" s="9">
        <v>46050</v>
      </c>
      <c r="N85" s="18">
        <f t="shared" ca="1" si="4"/>
        <v>12</v>
      </c>
      <c r="O85" s="9">
        <v>46052</v>
      </c>
      <c r="P85" s="9" t="str">
        <f t="shared" si="5"/>
        <v>✅ Ja</v>
      </c>
      <c r="Q85" t="s">
        <v>836</v>
      </c>
      <c r="S85" t="s">
        <v>839</v>
      </c>
      <c r="T85" t="s">
        <v>540</v>
      </c>
      <c r="U85" t="s">
        <v>546</v>
      </c>
    </row>
    <row r="86" spans="2:21" x14ac:dyDescent="0.25">
      <c r="B86" t="s">
        <v>51</v>
      </c>
      <c r="C86" t="s">
        <v>473</v>
      </c>
      <c r="D86" t="str">
        <f>IF(_xlfn.XLOOKUP(C86, ABZ!A:A, ABZ!B:B, "", 0) = 0, "", _xlfn.XLOOKUP(C86, ABZ!A:A, ABZ!B:B, "", 0))</f>
        <v>ENT-UIC-iOS</v>
      </c>
      <c r="E86" t="s">
        <v>834</v>
      </c>
      <c r="F86" t="s">
        <v>527</v>
      </c>
      <c r="I86">
        <f t="shared" si="3"/>
        <v>1</v>
      </c>
      <c r="J86" t="s">
        <v>873</v>
      </c>
      <c r="K86">
        <v>153377</v>
      </c>
      <c r="L86" s="9">
        <v>46041</v>
      </c>
      <c r="M86" s="9">
        <v>46043</v>
      </c>
      <c r="N86" s="18">
        <f t="shared" ca="1" si="4"/>
        <v>2</v>
      </c>
      <c r="O86" s="9">
        <v>46043</v>
      </c>
      <c r="P86" s="9" t="str">
        <f t="shared" si="5"/>
        <v>✅ Ja</v>
      </c>
      <c r="Q86" t="s">
        <v>839</v>
      </c>
      <c r="S86" t="s">
        <v>838</v>
      </c>
      <c r="T86" t="s">
        <v>540</v>
      </c>
      <c r="U86" t="s">
        <v>556</v>
      </c>
    </row>
    <row r="87" spans="2:21" x14ac:dyDescent="0.25">
      <c r="B87" t="s">
        <v>52</v>
      </c>
      <c r="C87" t="s">
        <v>473</v>
      </c>
      <c r="D87" t="str">
        <f>IF(_xlfn.XLOOKUP(C87, ABZ!A:A, ABZ!B:B, "", 0) = 0, "", _xlfn.XLOOKUP(C87, ABZ!A:A, ABZ!B:B, "", 0))</f>
        <v>ENT-UIC-iOS</v>
      </c>
      <c r="E87" t="s">
        <v>834</v>
      </c>
      <c r="F87" t="s">
        <v>527</v>
      </c>
      <c r="I87">
        <f t="shared" si="3"/>
        <v>1</v>
      </c>
      <c r="J87" t="s">
        <v>873</v>
      </c>
      <c r="K87">
        <v>153377</v>
      </c>
      <c r="L87" s="9">
        <v>46041</v>
      </c>
      <c r="M87" s="9">
        <v>46043</v>
      </c>
      <c r="N87" s="18">
        <f t="shared" ca="1" si="4"/>
        <v>2</v>
      </c>
      <c r="O87" s="9">
        <v>46043</v>
      </c>
      <c r="P87" s="9" t="str">
        <f t="shared" si="5"/>
        <v>✅ Ja</v>
      </c>
      <c r="Q87" t="s">
        <v>843</v>
      </c>
      <c r="S87" t="s">
        <v>838</v>
      </c>
      <c r="T87" t="s">
        <v>540</v>
      </c>
      <c r="U87" t="s">
        <v>557</v>
      </c>
    </row>
    <row r="88" spans="2:21" x14ac:dyDescent="0.25">
      <c r="B88" t="s">
        <v>53</v>
      </c>
      <c r="C88" t="s">
        <v>473</v>
      </c>
      <c r="D88" t="str">
        <f>IF(_xlfn.XLOOKUP(C88, ABZ!A:A, ABZ!B:B, "", 0) = 0, "", _xlfn.XLOOKUP(C88, ABZ!A:A, ABZ!B:B, "", 0))</f>
        <v>ENT-UIC-iOS</v>
      </c>
      <c r="E88" t="s">
        <v>834</v>
      </c>
      <c r="F88" t="s">
        <v>528</v>
      </c>
      <c r="I88">
        <f t="shared" si="3"/>
        <v>1</v>
      </c>
      <c r="J88" t="s">
        <v>873</v>
      </c>
      <c r="K88">
        <v>153377</v>
      </c>
      <c r="L88" s="9">
        <v>46041</v>
      </c>
      <c r="M88" s="9">
        <v>46043</v>
      </c>
      <c r="N88" s="18">
        <f t="shared" ca="1" si="4"/>
        <v>2</v>
      </c>
      <c r="O88" s="9">
        <v>46043</v>
      </c>
      <c r="P88" s="9" t="str">
        <f t="shared" si="5"/>
        <v>✅ Ja</v>
      </c>
      <c r="Q88" t="s">
        <v>841</v>
      </c>
      <c r="S88" t="s">
        <v>838</v>
      </c>
      <c r="T88" t="s">
        <v>540</v>
      </c>
      <c r="U88" t="s">
        <v>558</v>
      </c>
    </row>
    <row r="89" spans="2:21" x14ac:dyDescent="0.25">
      <c r="B89" t="s">
        <v>54</v>
      </c>
      <c r="C89" t="s">
        <v>473</v>
      </c>
      <c r="D89" t="str">
        <f>IF(_xlfn.XLOOKUP(C89, ABZ!A:A, ABZ!B:B, "", 0) = 0, "", _xlfn.XLOOKUP(C89, ABZ!A:A, ABZ!B:B, "", 0))</f>
        <v>ENT-UIC-iOS</v>
      </c>
      <c r="E89" t="s">
        <v>834</v>
      </c>
      <c r="F89" t="s">
        <v>527</v>
      </c>
      <c r="I89">
        <f t="shared" si="3"/>
        <v>1</v>
      </c>
      <c r="J89" t="s">
        <v>873</v>
      </c>
      <c r="K89">
        <v>153377</v>
      </c>
      <c r="L89" s="9">
        <v>46041</v>
      </c>
      <c r="M89" s="9">
        <v>46043</v>
      </c>
      <c r="N89" s="18">
        <f t="shared" ca="1" si="4"/>
        <v>2</v>
      </c>
      <c r="O89" s="9">
        <v>46043</v>
      </c>
      <c r="P89" s="9" t="str">
        <f t="shared" si="5"/>
        <v>✅ Ja</v>
      </c>
      <c r="Q89" t="s">
        <v>836</v>
      </c>
      <c r="S89" t="s">
        <v>838</v>
      </c>
      <c r="T89" t="s">
        <v>540</v>
      </c>
      <c r="U89" t="s">
        <v>559</v>
      </c>
    </row>
    <row r="90" spans="2:21" x14ac:dyDescent="0.25">
      <c r="B90" t="s">
        <v>55</v>
      </c>
      <c r="C90" t="s">
        <v>473</v>
      </c>
      <c r="D90" t="str">
        <f>IF(_xlfn.XLOOKUP(C90, ABZ!A:A, ABZ!B:B, "", 0) = 0, "", _xlfn.XLOOKUP(C90, ABZ!A:A, ABZ!B:B, "", 0))</f>
        <v>ENT-UIC-iOS</v>
      </c>
      <c r="E90" t="s">
        <v>834</v>
      </c>
      <c r="F90" t="s">
        <v>535</v>
      </c>
      <c r="I90">
        <f t="shared" si="3"/>
        <v>1</v>
      </c>
      <c r="J90" t="s">
        <v>873</v>
      </c>
      <c r="K90">
        <v>153377</v>
      </c>
      <c r="L90" s="9">
        <v>46041</v>
      </c>
      <c r="M90" s="9">
        <v>46043</v>
      </c>
      <c r="N90" s="18">
        <f t="shared" ca="1" si="4"/>
        <v>2</v>
      </c>
      <c r="O90" s="9">
        <v>46043</v>
      </c>
      <c r="P90" s="9" t="str">
        <f t="shared" si="5"/>
        <v>✅ Ja</v>
      </c>
      <c r="Q90" t="s">
        <v>842</v>
      </c>
      <c r="S90" t="s">
        <v>838</v>
      </c>
      <c r="T90" t="s">
        <v>540</v>
      </c>
      <c r="U90" t="s">
        <v>560</v>
      </c>
    </row>
    <row r="91" spans="2:21" x14ac:dyDescent="0.25">
      <c r="B91" t="s">
        <v>56</v>
      </c>
      <c r="C91" t="s">
        <v>473</v>
      </c>
      <c r="D91" t="str">
        <f>IF(_xlfn.XLOOKUP(C91, ABZ!A:A, ABZ!B:B, "", 0) = 0, "", _xlfn.XLOOKUP(C91, ABZ!A:A, ABZ!B:B, "", 0))</f>
        <v>ENT-UIC-iOS</v>
      </c>
      <c r="E91" t="s">
        <v>834</v>
      </c>
      <c r="F91" t="s">
        <v>538</v>
      </c>
      <c r="I91">
        <f t="shared" si="3"/>
        <v>1</v>
      </c>
      <c r="J91" t="s">
        <v>873</v>
      </c>
      <c r="K91">
        <v>153377</v>
      </c>
      <c r="L91" s="9">
        <v>46041</v>
      </c>
      <c r="M91" s="9">
        <v>46043</v>
      </c>
      <c r="N91" s="18">
        <f t="shared" ca="1" si="4"/>
        <v>2</v>
      </c>
      <c r="O91" s="9">
        <v>46043</v>
      </c>
      <c r="P91" s="9" t="str">
        <f t="shared" si="5"/>
        <v>✅ Ja</v>
      </c>
      <c r="Q91" t="s">
        <v>842</v>
      </c>
      <c r="S91" t="s">
        <v>838</v>
      </c>
      <c r="T91" t="s">
        <v>540</v>
      </c>
      <c r="U91" t="s">
        <v>561</v>
      </c>
    </row>
    <row r="92" spans="2:21" x14ac:dyDescent="0.25">
      <c r="B92" t="s">
        <v>57</v>
      </c>
      <c r="C92" t="s">
        <v>473</v>
      </c>
      <c r="D92" t="str">
        <f>IF(_xlfn.XLOOKUP(C92, ABZ!A:A, ABZ!B:B, "", 0) = 0, "", _xlfn.XLOOKUP(C92, ABZ!A:A, ABZ!B:B, "", 0))</f>
        <v>ENT-UIC-iOS</v>
      </c>
      <c r="E92" t="s">
        <v>834</v>
      </c>
      <c r="F92" t="s">
        <v>529</v>
      </c>
      <c r="I92">
        <f t="shared" si="3"/>
        <v>1</v>
      </c>
      <c r="J92" t="s">
        <v>873</v>
      </c>
      <c r="K92">
        <v>153377</v>
      </c>
      <c r="L92" s="9">
        <v>46041</v>
      </c>
      <c r="M92" s="9">
        <v>46043</v>
      </c>
      <c r="N92" s="18">
        <f t="shared" ca="1" si="4"/>
        <v>2</v>
      </c>
      <c r="O92" s="9">
        <v>46043</v>
      </c>
      <c r="P92" s="9" t="str">
        <f t="shared" si="5"/>
        <v>✅ Ja</v>
      </c>
      <c r="Q92" t="s">
        <v>846</v>
      </c>
      <c r="S92" t="s">
        <v>838</v>
      </c>
      <c r="T92" t="s">
        <v>540</v>
      </c>
      <c r="U92" t="s">
        <v>562</v>
      </c>
    </row>
    <row r="93" spans="2:21" x14ac:dyDescent="0.25">
      <c r="B93" t="s">
        <v>58</v>
      </c>
      <c r="C93" t="s">
        <v>469</v>
      </c>
      <c r="D93" t="str">
        <f>IF(_xlfn.XLOOKUP(C93, ABZ!A:A, ABZ!B:B, "", 0) = 0, "", _xlfn.XLOOKUP(C93, ABZ!A:A, ABZ!B:B, "", 0))</f>
        <v>VTR-CS-CM-Retail</v>
      </c>
      <c r="E93" t="s">
        <v>835</v>
      </c>
      <c r="F93" t="s">
        <v>527</v>
      </c>
      <c r="G93">
        <v>678</v>
      </c>
      <c r="H93">
        <v>1</v>
      </c>
      <c r="I93">
        <f t="shared" si="3"/>
        <v>1</v>
      </c>
      <c r="L93" s="9">
        <v>46042</v>
      </c>
      <c r="M93" s="9">
        <v>46048</v>
      </c>
      <c r="N93" s="18">
        <f t="shared" ca="1" si="4"/>
        <v>6</v>
      </c>
      <c r="O93" s="9">
        <v>46043</v>
      </c>
      <c r="P93" s="9" t="str">
        <f t="shared" si="5"/>
        <v>❌ Nein</v>
      </c>
      <c r="Q93" t="s">
        <v>838</v>
      </c>
      <c r="S93" t="s">
        <v>839</v>
      </c>
      <c r="T93" t="s">
        <v>540</v>
      </c>
      <c r="U93" t="s">
        <v>546</v>
      </c>
    </row>
    <row r="94" spans="2:21" x14ac:dyDescent="0.25">
      <c r="B94" t="s">
        <v>58</v>
      </c>
      <c r="C94" t="s">
        <v>469</v>
      </c>
      <c r="D94" t="str">
        <f>IF(_xlfn.XLOOKUP(C94, ABZ!A:A, ABZ!B:B, "", 0) = 0, "", _xlfn.XLOOKUP(C94, ABZ!A:A, ABZ!B:B, "", 0))</f>
        <v>VTR-CS-CM-Retail</v>
      </c>
      <c r="E94" t="s">
        <v>834</v>
      </c>
      <c r="F94" t="s">
        <v>529</v>
      </c>
      <c r="G94">
        <v>678</v>
      </c>
      <c r="I94">
        <f t="shared" si="3"/>
        <v>0</v>
      </c>
      <c r="L94" s="9">
        <v>46042</v>
      </c>
      <c r="M94" s="9">
        <v>46048</v>
      </c>
      <c r="N94" s="18">
        <f t="shared" ca="1" si="4"/>
        <v>6</v>
      </c>
      <c r="O94" s="9">
        <v>46051</v>
      </c>
      <c r="P94" s="9" t="str">
        <f t="shared" si="5"/>
        <v>✅ Ja</v>
      </c>
      <c r="Q94" t="s">
        <v>837</v>
      </c>
      <c r="R94" t="s">
        <v>845</v>
      </c>
      <c r="S94" t="s">
        <v>839</v>
      </c>
      <c r="T94" t="s">
        <v>540</v>
      </c>
      <c r="U94" t="s">
        <v>546</v>
      </c>
    </row>
    <row r="95" spans="2:21" x14ac:dyDescent="0.25">
      <c r="B95" t="s">
        <v>58</v>
      </c>
      <c r="C95" t="s">
        <v>469</v>
      </c>
      <c r="D95" t="str">
        <f>IF(_xlfn.XLOOKUP(C95, ABZ!A:A, ABZ!B:B, "", 0) = 0, "", _xlfn.XLOOKUP(C95, ABZ!A:A, ABZ!B:B, "", 0))</f>
        <v>VTR-CS-CM-Retail</v>
      </c>
      <c r="E95" t="s">
        <v>834</v>
      </c>
      <c r="F95" t="s">
        <v>527</v>
      </c>
      <c r="G95">
        <v>678</v>
      </c>
      <c r="I95">
        <f t="shared" si="3"/>
        <v>0</v>
      </c>
      <c r="L95" s="9">
        <v>46042</v>
      </c>
      <c r="M95" s="9">
        <v>46048</v>
      </c>
      <c r="N95" s="18">
        <f t="shared" ca="1" si="4"/>
        <v>6</v>
      </c>
      <c r="O95" s="9">
        <v>46051</v>
      </c>
      <c r="P95" s="9" t="str">
        <f t="shared" si="5"/>
        <v>✅ Ja</v>
      </c>
      <c r="Q95" t="s">
        <v>849</v>
      </c>
      <c r="R95" t="s">
        <v>841</v>
      </c>
      <c r="S95" t="s">
        <v>839</v>
      </c>
      <c r="T95" t="s">
        <v>540</v>
      </c>
      <c r="U95" t="s">
        <v>546</v>
      </c>
    </row>
    <row r="96" spans="2:21" x14ac:dyDescent="0.25">
      <c r="B96" t="s">
        <v>58</v>
      </c>
      <c r="C96" t="s">
        <v>469</v>
      </c>
      <c r="D96" t="str">
        <f>IF(_xlfn.XLOOKUP(C96, ABZ!A:A, ABZ!B:B, "", 0) = 0, "", _xlfn.XLOOKUP(C96, ABZ!A:A, ABZ!B:B, "", 0))</f>
        <v>VTR-CS-CM-Retail</v>
      </c>
      <c r="E96" t="s">
        <v>834</v>
      </c>
      <c r="F96" t="s">
        <v>527</v>
      </c>
      <c r="G96">
        <v>678</v>
      </c>
      <c r="I96">
        <f t="shared" si="3"/>
        <v>0</v>
      </c>
      <c r="L96" s="9">
        <v>46042</v>
      </c>
      <c r="M96" s="9">
        <v>46048</v>
      </c>
      <c r="N96" s="18">
        <f t="shared" ca="1" si="4"/>
        <v>6</v>
      </c>
      <c r="O96" s="9">
        <v>46051</v>
      </c>
      <c r="P96" s="9" t="str">
        <f t="shared" si="5"/>
        <v>✅ Ja</v>
      </c>
      <c r="Q96" t="s">
        <v>836</v>
      </c>
      <c r="S96" t="s">
        <v>839</v>
      </c>
      <c r="T96" t="s">
        <v>540</v>
      </c>
      <c r="U96" t="s">
        <v>546</v>
      </c>
    </row>
    <row r="97" spans="2:21" x14ac:dyDescent="0.25">
      <c r="B97" t="s">
        <v>58</v>
      </c>
      <c r="C97" t="s">
        <v>469</v>
      </c>
      <c r="D97" t="str">
        <f>IF(_xlfn.XLOOKUP(C97, ABZ!A:A, ABZ!B:B, "", 0) = 0, "", _xlfn.XLOOKUP(C97, ABZ!A:A, ABZ!B:B, "", 0))</f>
        <v>VTR-CS-CM-Retail</v>
      </c>
      <c r="E97" t="s">
        <v>834</v>
      </c>
      <c r="F97" t="s">
        <v>527</v>
      </c>
      <c r="G97">
        <v>678</v>
      </c>
      <c r="I97">
        <f t="shared" si="3"/>
        <v>0</v>
      </c>
      <c r="L97" s="9">
        <v>46042</v>
      </c>
      <c r="M97" s="9">
        <v>46048</v>
      </c>
      <c r="N97" s="18">
        <f t="shared" ca="1" si="4"/>
        <v>6</v>
      </c>
      <c r="O97" s="9">
        <v>46051</v>
      </c>
      <c r="P97" s="9" t="str">
        <f t="shared" si="5"/>
        <v>✅ Ja</v>
      </c>
      <c r="Q97" t="s">
        <v>843</v>
      </c>
      <c r="S97" t="s">
        <v>839</v>
      </c>
      <c r="T97" t="s">
        <v>540</v>
      </c>
      <c r="U97" t="s">
        <v>546</v>
      </c>
    </row>
    <row r="98" spans="2:21" x14ac:dyDescent="0.25">
      <c r="B98" t="s">
        <v>58</v>
      </c>
      <c r="C98" t="s">
        <v>469</v>
      </c>
      <c r="D98" t="str">
        <f>IF(_xlfn.XLOOKUP(C98, ABZ!A:A, ABZ!B:B, "", 0) = 0, "", _xlfn.XLOOKUP(C98, ABZ!A:A, ABZ!B:B, "", 0))</f>
        <v>VTR-CS-CM-Retail</v>
      </c>
      <c r="E98" t="s">
        <v>834</v>
      </c>
      <c r="F98" t="s">
        <v>530</v>
      </c>
      <c r="G98">
        <v>678</v>
      </c>
      <c r="I98">
        <f t="shared" si="3"/>
        <v>0</v>
      </c>
      <c r="L98" s="9">
        <v>46042</v>
      </c>
      <c r="M98" s="9">
        <v>46048</v>
      </c>
      <c r="N98" s="18">
        <f t="shared" ca="1" si="4"/>
        <v>6</v>
      </c>
      <c r="O98" s="9">
        <v>46051</v>
      </c>
      <c r="P98" s="9" t="str">
        <f t="shared" si="5"/>
        <v>✅ Ja</v>
      </c>
      <c r="Q98" t="s">
        <v>844</v>
      </c>
      <c r="R98" t="s">
        <v>839</v>
      </c>
      <c r="S98" t="s">
        <v>839</v>
      </c>
      <c r="T98" t="s">
        <v>540</v>
      </c>
      <c r="U98" t="s">
        <v>546</v>
      </c>
    </row>
    <row r="99" spans="2:21" x14ac:dyDescent="0.25">
      <c r="B99" t="s">
        <v>59</v>
      </c>
      <c r="C99" t="s">
        <v>474</v>
      </c>
      <c r="D99" t="str">
        <f>IF(_xlfn.XLOOKUP(C99, ABZ!A:A, ABZ!B:B, "", 0) = 0, "", _xlfn.XLOOKUP(C99, ABZ!A:A, ABZ!B:B, "", 0))</f>
        <v>SUP-KS-Verwaltung</v>
      </c>
      <c r="E99" t="s">
        <v>834</v>
      </c>
      <c r="F99" t="s">
        <v>535</v>
      </c>
      <c r="I99">
        <f t="shared" si="3"/>
        <v>1</v>
      </c>
      <c r="J99" t="s">
        <v>875</v>
      </c>
      <c r="L99" s="9">
        <v>46042</v>
      </c>
      <c r="M99" s="9">
        <v>46043</v>
      </c>
      <c r="N99" s="18">
        <f t="shared" ca="1" si="4"/>
        <v>1</v>
      </c>
      <c r="O99" s="9">
        <v>46044</v>
      </c>
      <c r="P99" s="9" t="str">
        <f t="shared" si="5"/>
        <v>✅ Ja</v>
      </c>
      <c r="Q99" t="s">
        <v>842</v>
      </c>
      <c r="S99" t="s">
        <v>838</v>
      </c>
      <c r="T99" t="s">
        <v>540</v>
      </c>
      <c r="U99" t="s">
        <v>554</v>
      </c>
    </row>
    <row r="100" spans="2:21" x14ac:dyDescent="0.25">
      <c r="B100" t="s">
        <v>60</v>
      </c>
      <c r="C100" t="s">
        <v>468</v>
      </c>
      <c r="D100" t="str">
        <f>IF(_xlfn.XLOOKUP(C100, ABZ!A:A, ABZ!B:B, "", 0) = 0, "", _xlfn.XLOOKUP(C100, ABZ!A:A, ABZ!B:B, "", 0))</f>
        <v>SUP-TCO-KnowledgeManagement</v>
      </c>
      <c r="E100" t="s">
        <v>834</v>
      </c>
      <c r="F100" t="s">
        <v>529</v>
      </c>
      <c r="I100">
        <f t="shared" si="3"/>
        <v>1</v>
      </c>
      <c r="J100" t="s">
        <v>873</v>
      </c>
      <c r="K100">
        <v>154071</v>
      </c>
      <c r="L100" s="9">
        <v>46042</v>
      </c>
      <c r="M100" s="9">
        <v>46043</v>
      </c>
      <c r="N100" s="18">
        <f t="shared" ca="1" si="4"/>
        <v>1</v>
      </c>
      <c r="O100" s="9">
        <v>46044</v>
      </c>
      <c r="P100" s="9" t="str">
        <f t="shared" si="5"/>
        <v>✅ Ja</v>
      </c>
      <c r="Q100" t="s">
        <v>837</v>
      </c>
      <c r="S100" t="s">
        <v>840</v>
      </c>
      <c r="T100" t="s">
        <v>540</v>
      </c>
      <c r="U100" t="s">
        <v>563</v>
      </c>
    </row>
    <row r="101" spans="2:21" x14ac:dyDescent="0.25">
      <c r="B101" t="s">
        <v>61</v>
      </c>
      <c r="C101" t="s">
        <v>468</v>
      </c>
      <c r="D101" t="str">
        <f>IF(_xlfn.XLOOKUP(C101, ABZ!A:A, ABZ!B:B, "", 0) = 0, "", _xlfn.XLOOKUP(C101, ABZ!A:A, ABZ!B:B, "", 0))</f>
        <v>SUP-TCO-KnowledgeManagement</v>
      </c>
      <c r="E101" t="s">
        <v>834</v>
      </c>
      <c r="F101" t="s">
        <v>528</v>
      </c>
      <c r="I101">
        <f t="shared" si="3"/>
        <v>1</v>
      </c>
      <c r="J101" t="s">
        <v>873</v>
      </c>
      <c r="K101">
        <v>154071</v>
      </c>
      <c r="L101" s="9">
        <v>46042</v>
      </c>
      <c r="M101" s="9">
        <v>46042</v>
      </c>
      <c r="N101" s="18">
        <f t="shared" ca="1" si="4"/>
        <v>0</v>
      </c>
      <c r="O101" s="9">
        <v>46044</v>
      </c>
      <c r="P101" s="9" t="str">
        <f t="shared" si="5"/>
        <v>✅ Ja</v>
      </c>
      <c r="Q101" t="s">
        <v>841</v>
      </c>
      <c r="S101" t="s">
        <v>840</v>
      </c>
      <c r="T101" t="s">
        <v>540</v>
      </c>
      <c r="U101" t="s">
        <v>564</v>
      </c>
    </row>
    <row r="102" spans="2:21" x14ac:dyDescent="0.25">
      <c r="B102" t="s">
        <v>62</v>
      </c>
      <c r="C102" t="s">
        <v>468</v>
      </c>
      <c r="D102" t="str">
        <f>IF(_xlfn.XLOOKUP(C102, ABZ!A:A, ABZ!B:B, "", 0) = 0, "", _xlfn.XLOOKUP(C102, ABZ!A:A, ABZ!B:B, "", 0))</f>
        <v>SUP-TCO-KnowledgeManagement</v>
      </c>
      <c r="E102" t="s">
        <v>834</v>
      </c>
      <c r="F102" t="s">
        <v>527</v>
      </c>
      <c r="I102">
        <f t="shared" si="3"/>
        <v>0</v>
      </c>
      <c r="J102" t="s">
        <v>873</v>
      </c>
      <c r="K102">
        <v>154071</v>
      </c>
      <c r="L102" s="9">
        <v>46042</v>
      </c>
      <c r="M102" s="9">
        <v>46045</v>
      </c>
      <c r="N102" s="18">
        <f t="shared" ca="1" si="4"/>
        <v>3</v>
      </c>
      <c r="O102" s="9">
        <v>46045</v>
      </c>
      <c r="P102" s="9" t="str">
        <f t="shared" si="5"/>
        <v>✅ Ja</v>
      </c>
      <c r="Q102" t="s">
        <v>836</v>
      </c>
      <c r="S102" t="s">
        <v>840</v>
      </c>
      <c r="T102" t="s">
        <v>540</v>
      </c>
      <c r="U102" t="s">
        <v>565</v>
      </c>
    </row>
    <row r="103" spans="2:21" x14ac:dyDescent="0.25">
      <c r="B103" t="s">
        <v>63</v>
      </c>
      <c r="C103" t="s">
        <v>468</v>
      </c>
      <c r="D103" t="str">
        <f>IF(_xlfn.XLOOKUP(C103, ABZ!A:A, ABZ!B:B, "", 0) = 0, "", _xlfn.XLOOKUP(C103, ABZ!A:A, ABZ!B:B, "", 0))</f>
        <v>SUP-TCO-KnowledgeManagement</v>
      </c>
      <c r="E103" t="s">
        <v>834</v>
      </c>
      <c r="F103" t="s">
        <v>527</v>
      </c>
      <c r="I103">
        <f t="shared" si="3"/>
        <v>1</v>
      </c>
      <c r="J103" t="s">
        <v>873</v>
      </c>
      <c r="K103">
        <v>154071</v>
      </c>
      <c r="L103" s="9">
        <v>46042</v>
      </c>
      <c r="M103" s="9">
        <v>46042</v>
      </c>
      <c r="N103" s="18">
        <f t="shared" ca="1" si="4"/>
        <v>0</v>
      </c>
      <c r="O103" s="9">
        <v>46044</v>
      </c>
      <c r="P103" s="9" t="str">
        <f t="shared" si="5"/>
        <v>✅ Ja</v>
      </c>
      <c r="Q103" t="s">
        <v>839</v>
      </c>
      <c r="S103" t="s">
        <v>840</v>
      </c>
      <c r="T103" t="s">
        <v>540</v>
      </c>
      <c r="U103" t="s">
        <v>566</v>
      </c>
    </row>
    <row r="104" spans="2:21" x14ac:dyDescent="0.25">
      <c r="B104" t="s">
        <v>64</v>
      </c>
      <c r="C104" t="s">
        <v>468</v>
      </c>
      <c r="D104" t="str">
        <f>IF(_xlfn.XLOOKUP(C104, ABZ!A:A, ABZ!B:B, "", 0) = 0, "", _xlfn.XLOOKUP(C104, ABZ!A:A, ABZ!B:B, "", 0))</f>
        <v>SUP-TCO-KnowledgeManagement</v>
      </c>
      <c r="E104" t="s">
        <v>834</v>
      </c>
      <c r="F104" t="s">
        <v>527</v>
      </c>
      <c r="I104">
        <f t="shared" si="3"/>
        <v>1</v>
      </c>
      <c r="J104" t="s">
        <v>873</v>
      </c>
      <c r="K104">
        <v>154071</v>
      </c>
      <c r="L104" s="9">
        <v>46042</v>
      </c>
      <c r="M104" s="9">
        <v>46042</v>
      </c>
      <c r="N104" s="18">
        <f t="shared" ca="1" si="4"/>
        <v>0</v>
      </c>
      <c r="O104" s="9">
        <v>46044</v>
      </c>
      <c r="P104" s="9" t="str">
        <f t="shared" si="5"/>
        <v>✅ Ja</v>
      </c>
      <c r="Q104" t="s">
        <v>840</v>
      </c>
      <c r="S104" t="s">
        <v>840</v>
      </c>
      <c r="T104" t="s">
        <v>540</v>
      </c>
      <c r="U104" t="s">
        <v>567</v>
      </c>
    </row>
    <row r="105" spans="2:21" x14ac:dyDescent="0.25">
      <c r="B105" t="s">
        <v>65</v>
      </c>
      <c r="C105" t="s">
        <v>475</v>
      </c>
      <c r="D105" t="str">
        <f>IF(_xlfn.XLOOKUP(C105, ABZ!A:A, ABZ!B:B, "", 0) = 0, "", _xlfn.XLOOKUP(C105, ABZ!A:A, ABZ!B:B, "", 0))</f>
        <v>SUP-TCO-KnowledgeManagement</v>
      </c>
      <c r="E105" t="s">
        <v>834</v>
      </c>
      <c r="F105" t="s">
        <v>529</v>
      </c>
      <c r="I105">
        <f t="shared" si="3"/>
        <v>0</v>
      </c>
      <c r="L105" s="9">
        <v>46041</v>
      </c>
      <c r="M105" s="9">
        <v>46043</v>
      </c>
      <c r="N105" s="18">
        <f t="shared" ca="1" si="4"/>
        <v>2</v>
      </c>
      <c r="O105" s="9">
        <v>46048</v>
      </c>
      <c r="P105" s="9" t="str">
        <f t="shared" si="5"/>
        <v>✅ Ja</v>
      </c>
      <c r="Q105" t="s">
        <v>837</v>
      </c>
      <c r="S105" t="s">
        <v>840</v>
      </c>
      <c r="T105" t="s">
        <v>540</v>
      </c>
      <c r="U105" t="s">
        <v>568</v>
      </c>
    </row>
    <row r="106" spans="2:21" x14ac:dyDescent="0.25">
      <c r="B106" t="s">
        <v>65</v>
      </c>
      <c r="C106" t="s">
        <v>475</v>
      </c>
      <c r="D106" t="str">
        <f>IF(_xlfn.XLOOKUP(C106, ABZ!A:A, ABZ!B:B, "", 0) = 0, "", _xlfn.XLOOKUP(C106, ABZ!A:A, ABZ!B:B, "", 0))</f>
        <v>SUP-TCO-KnowledgeManagement</v>
      </c>
      <c r="E106" t="s">
        <v>834</v>
      </c>
      <c r="F106" t="s">
        <v>528</v>
      </c>
      <c r="I106">
        <f t="shared" si="3"/>
        <v>0</v>
      </c>
      <c r="L106" s="9">
        <v>46041</v>
      </c>
      <c r="M106" s="9">
        <v>46043</v>
      </c>
      <c r="N106" s="18">
        <f t="shared" ca="1" si="4"/>
        <v>2</v>
      </c>
      <c r="O106" s="9">
        <v>46048</v>
      </c>
      <c r="P106" s="9" t="str">
        <f t="shared" si="5"/>
        <v>✅ Ja</v>
      </c>
      <c r="Q106" t="s">
        <v>841</v>
      </c>
      <c r="S106" t="s">
        <v>840</v>
      </c>
      <c r="T106" t="s">
        <v>540</v>
      </c>
      <c r="U106" t="s">
        <v>568</v>
      </c>
    </row>
    <row r="107" spans="2:21" x14ac:dyDescent="0.25">
      <c r="B107" t="s">
        <v>65</v>
      </c>
      <c r="C107" t="s">
        <v>475</v>
      </c>
      <c r="D107" t="str">
        <f>IF(_xlfn.XLOOKUP(C107, ABZ!A:A, ABZ!B:B, "", 0) = 0, "", _xlfn.XLOOKUP(C107, ABZ!A:A, ABZ!B:B, "", 0))</f>
        <v>SUP-TCO-KnowledgeManagement</v>
      </c>
      <c r="E107" t="s">
        <v>834</v>
      </c>
      <c r="F107" t="s">
        <v>527</v>
      </c>
      <c r="I107">
        <f t="shared" si="3"/>
        <v>0</v>
      </c>
      <c r="L107" s="9">
        <v>46041</v>
      </c>
      <c r="M107" s="9">
        <v>46050</v>
      </c>
      <c r="N107" s="18">
        <f t="shared" ca="1" si="4"/>
        <v>9</v>
      </c>
      <c r="O107" s="9">
        <v>46050</v>
      </c>
      <c r="P107" s="9" t="str">
        <f t="shared" si="5"/>
        <v>✅ Ja</v>
      </c>
      <c r="Q107" t="s">
        <v>836</v>
      </c>
      <c r="S107" t="s">
        <v>840</v>
      </c>
      <c r="T107" t="s">
        <v>540</v>
      </c>
      <c r="U107" t="s">
        <v>568</v>
      </c>
    </row>
    <row r="108" spans="2:21" x14ac:dyDescent="0.25">
      <c r="B108" t="s">
        <v>65</v>
      </c>
      <c r="C108" t="s">
        <v>475</v>
      </c>
      <c r="D108" t="str">
        <f>IF(_xlfn.XLOOKUP(C108, ABZ!A:A, ABZ!B:B, "", 0) = 0, "", _xlfn.XLOOKUP(C108, ABZ!A:A, ABZ!B:B, "", 0))</f>
        <v>SUP-TCO-KnowledgeManagement</v>
      </c>
      <c r="E108" t="s">
        <v>834</v>
      </c>
      <c r="F108" t="s">
        <v>527</v>
      </c>
      <c r="I108">
        <f t="shared" si="3"/>
        <v>0</v>
      </c>
      <c r="L108" s="9">
        <v>46041</v>
      </c>
      <c r="M108" s="9">
        <v>46050</v>
      </c>
      <c r="N108" s="18">
        <f t="shared" ca="1" si="4"/>
        <v>9</v>
      </c>
      <c r="O108" s="9">
        <v>46050</v>
      </c>
      <c r="P108" s="9" t="str">
        <f t="shared" si="5"/>
        <v>✅ Ja</v>
      </c>
      <c r="Q108" t="s">
        <v>839</v>
      </c>
      <c r="S108" t="s">
        <v>840</v>
      </c>
      <c r="T108" t="s">
        <v>540</v>
      </c>
      <c r="U108" t="s">
        <v>568</v>
      </c>
    </row>
    <row r="109" spans="2:21" x14ac:dyDescent="0.25">
      <c r="B109" t="s">
        <v>65</v>
      </c>
      <c r="C109" t="s">
        <v>475</v>
      </c>
      <c r="D109" t="str">
        <f>IF(_xlfn.XLOOKUP(C109, ABZ!A:A, ABZ!B:B, "", 0) = 0, "", _xlfn.XLOOKUP(C109, ABZ!A:A, ABZ!B:B, "", 0))</f>
        <v>SUP-TCO-KnowledgeManagement</v>
      </c>
      <c r="E109" t="s">
        <v>834</v>
      </c>
      <c r="F109" t="s">
        <v>527</v>
      </c>
      <c r="I109">
        <f t="shared" si="3"/>
        <v>0</v>
      </c>
      <c r="L109" s="9">
        <v>46041</v>
      </c>
      <c r="M109" s="9">
        <v>46050</v>
      </c>
      <c r="N109" s="18">
        <f t="shared" ca="1" si="4"/>
        <v>9</v>
      </c>
      <c r="O109" s="9">
        <v>46050</v>
      </c>
      <c r="P109" s="9" t="str">
        <f t="shared" si="5"/>
        <v>✅ Ja</v>
      </c>
      <c r="Q109" t="s">
        <v>840</v>
      </c>
      <c r="S109" t="s">
        <v>840</v>
      </c>
      <c r="T109" t="s">
        <v>540</v>
      </c>
      <c r="U109" t="s">
        <v>568</v>
      </c>
    </row>
    <row r="110" spans="2:21" x14ac:dyDescent="0.25">
      <c r="B110" t="s">
        <v>66</v>
      </c>
      <c r="C110" t="s">
        <v>476</v>
      </c>
      <c r="D110" t="str">
        <f>IF(_xlfn.XLOOKUP(C110, ABZ!A:A, ABZ!B:B, "", 0) = 0, "", _xlfn.XLOOKUP(C110, ABZ!A:A, ABZ!B:B, "", 0))</f>
        <v>KOM-Online</v>
      </c>
      <c r="E110" t="s">
        <v>835</v>
      </c>
      <c r="F110" t="s">
        <v>527</v>
      </c>
      <c r="H110">
        <v>2</v>
      </c>
      <c r="I110">
        <f t="shared" si="3"/>
        <v>0</v>
      </c>
      <c r="L110" s="9">
        <v>46041</v>
      </c>
      <c r="M110" s="9">
        <v>46044</v>
      </c>
      <c r="N110" s="18">
        <f t="shared" ca="1" si="4"/>
        <v>3</v>
      </c>
      <c r="O110" s="9">
        <v>46044</v>
      </c>
      <c r="P110" s="9" t="str">
        <f t="shared" si="5"/>
        <v>✅ Ja</v>
      </c>
      <c r="Q110" t="s">
        <v>838</v>
      </c>
      <c r="S110" t="s">
        <v>838</v>
      </c>
      <c r="T110" t="s">
        <v>540</v>
      </c>
      <c r="U110" t="s">
        <v>569</v>
      </c>
    </row>
    <row r="111" spans="2:21" x14ac:dyDescent="0.25">
      <c r="B111" t="s">
        <v>67</v>
      </c>
      <c r="C111" t="s">
        <v>477</v>
      </c>
      <c r="D111" t="str">
        <f>IF(_xlfn.XLOOKUP(C111, ABZ!A:A, ABZ!B:B, "", 0) = 0, "", _xlfn.XLOOKUP(C111, ABZ!A:A, ABZ!B:B, "", 0))</f>
        <v>ENT-RD-Interconnect</v>
      </c>
      <c r="E111" t="s">
        <v>835</v>
      </c>
      <c r="F111" t="s">
        <v>527</v>
      </c>
      <c r="H111">
        <v>1</v>
      </c>
      <c r="I111">
        <f t="shared" si="3"/>
        <v>0</v>
      </c>
      <c r="J111" t="s">
        <v>873</v>
      </c>
      <c r="K111" s="7">
        <v>153423</v>
      </c>
      <c r="L111" s="9">
        <v>46041</v>
      </c>
      <c r="M111" s="9">
        <v>46055</v>
      </c>
      <c r="N111" s="18">
        <f t="shared" ca="1" si="4"/>
        <v>14</v>
      </c>
      <c r="O111" s="9">
        <v>46059</v>
      </c>
      <c r="P111" s="9" t="str">
        <f t="shared" si="5"/>
        <v>✅ Ja</v>
      </c>
      <c r="Q111" t="s">
        <v>838</v>
      </c>
      <c r="S111" t="s">
        <v>838</v>
      </c>
      <c r="T111" t="s">
        <v>540</v>
      </c>
      <c r="U111" t="s">
        <v>570</v>
      </c>
    </row>
    <row r="112" spans="2:21" x14ac:dyDescent="0.25">
      <c r="B112" t="s">
        <v>68</v>
      </c>
      <c r="C112" t="s">
        <v>477</v>
      </c>
      <c r="D112" t="str">
        <f>IF(_xlfn.XLOOKUP(C112, ABZ!A:A, ABZ!B:B, "", 0) = 0, "", _xlfn.XLOOKUP(C112, ABZ!A:A, ABZ!B:B, "", 0))</f>
        <v>ENT-RD-Interconnect</v>
      </c>
      <c r="E112" t="s">
        <v>834</v>
      </c>
      <c r="F112" t="s">
        <v>529</v>
      </c>
      <c r="I112">
        <f t="shared" si="3"/>
        <v>0</v>
      </c>
      <c r="J112" t="s">
        <v>873</v>
      </c>
      <c r="K112">
        <v>153423</v>
      </c>
      <c r="L112" s="9">
        <v>46041</v>
      </c>
      <c r="M112" s="9">
        <v>46058</v>
      </c>
      <c r="N112" s="18">
        <f t="shared" ca="1" si="4"/>
        <v>17</v>
      </c>
      <c r="O112" s="9">
        <v>46059</v>
      </c>
      <c r="P112" s="9" t="str">
        <f t="shared" si="5"/>
        <v>✅ Ja</v>
      </c>
      <c r="Q112" t="s">
        <v>837</v>
      </c>
      <c r="S112" t="s">
        <v>838</v>
      </c>
      <c r="T112" t="s">
        <v>540</v>
      </c>
      <c r="U112" t="s">
        <v>571</v>
      </c>
    </row>
    <row r="113" spans="2:21" x14ac:dyDescent="0.25">
      <c r="B113" t="s">
        <v>69</v>
      </c>
      <c r="C113" t="s">
        <v>477</v>
      </c>
      <c r="D113" t="str">
        <f>IF(_xlfn.XLOOKUP(C113, ABZ!A:A, ABZ!B:B, "", 0) = 0, "", _xlfn.XLOOKUP(C113, ABZ!A:A, ABZ!B:B, "", 0))</f>
        <v>ENT-RD-Interconnect</v>
      </c>
      <c r="E113" t="s">
        <v>834</v>
      </c>
      <c r="F113" t="s">
        <v>532</v>
      </c>
      <c r="I113">
        <f t="shared" si="3"/>
        <v>0</v>
      </c>
      <c r="J113" t="s">
        <v>873</v>
      </c>
      <c r="K113">
        <v>153423</v>
      </c>
      <c r="L113" s="9">
        <v>46041</v>
      </c>
      <c r="M113" s="9">
        <v>46058</v>
      </c>
      <c r="N113" s="18">
        <f t="shared" ca="1" si="4"/>
        <v>17</v>
      </c>
      <c r="O113" s="9">
        <v>46059</v>
      </c>
      <c r="P113" s="9" t="str">
        <f t="shared" si="5"/>
        <v>✅ Ja</v>
      </c>
      <c r="Q113" s="15" t="s">
        <v>851</v>
      </c>
      <c r="S113" t="s">
        <v>838</v>
      </c>
      <c r="T113" t="s">
        <v>540</v>
      </c>
      <c r="U113" t="s">
        <v>572</v>
      </c>
    </row>
    <row r="114" spans="2:21" x14ac:dyDescent="0.25">
      <c r="B114" t="s">
        <v>70</v>
      </c>
      <c r="C114" t="s">
        <v>477</v>
      </c>
      <c r="D114" t="str">
        <f>IF(_xlfn.XLOOKUP(C114, ABZ!A:A, ABZ!B:B, "", 0) = 0, "", _xlfn.XLOOKUP(C114, ABZ!A:A, ABZ!B:B, "", 0))</f>
        <v>ENT-RD-Interconnect</v>
      </c>
      <c r="E114" t="s">
        <v>835</v>
      </c>
      <c r="F114" t="s">
        <v>532</v>
      </c>
      <c r="H114">
        <v>1</v>
      </c>
      <c r="I114">
        <f t="shared" si="3"/>
        <v>0</v>
      </c>
      <c r="J114" t="s">
        <v>873</v>
      </c>
      <c r="K114">
        <v>153423</v>
      </c>
      <c r="L114" s="9">
        <v>46041</v>
      </c>
      <c r="M114" s="9">
        <v>46058</v>
      </c>
      <c r="N114" s="18">
        <f t="shared" ca="1" si="4"/>
        <v>17</v>
      </c>
      <c r="O114" s="9">
        <v>46059</v>
      </c>
      <c r="P114" s="9" t="str">
        <f t="shared" si="5"/>
        <v>✅ Ja</v>
      </c>
      <c r="Q114" t="s">
        <v>838</v>
      </c>
      <c r="S114" t="s">
        <v>838</v>
      </c>
      <c r="T114" t="s">
        <v>540</v>
      </c>
      <c r="U114" t="s">
        <v>573</v>
      </c>
    </row>
    <row r="115" spans="2:21" x14ac:dyDescent="0.25">
      <c r="B115" t="s">
        <v>71</v>
      </c>
      <c r="C115" t="s">
        <v>478</v>
      </c>
      <c r="D115" t="str">
        <f>IF(_xlfn.XLOOKUP(C115, ABZ!A:A, ABZ!B:B, "", 0) = 0, "", _xlfn.XLOOKUP(C115, ABZ!A:A, ABZ!B:B, "", 0))</f>
        <v>D2C-MarketingContent</v>
      </c>
      <c r="E115" t="s">
        <v>834</v>
      </c>
      <c r="F115" t="s">
        <v>529</v>
      </c>
      <c r="I115">
        <f t="shared" si="3"/>
        <v>0</v>
      </c>
      <c r="L115" s="9">
        <v>46042</v>
      </c>
      <c r="M115" s="9">
        <v>46049</v>
      </c>
      <c r="N115" s="18">
        <f t="shared" ca="1" si="4"/>
        <v>7</v>
      </c>
      <c r="O115" s="9">
        <v>46050</v>
      </c>
      <c r="P115" s="9" t="str">
        <f t="shared" si="5"/>
        <v>✅ Ja</v>
      </c>
      <c r="Q115" t="s">
        <v>837</v>
      </c>
      <c r="S115" t="s">
        <v>841</v>
      </c>
      <c r="T115" t="s">
        <v>540</v>
      </c>
      <c r="U115" t="s">
        <v>574</v>
      </c>
    </row>
    <row r="116" spans="2:21" x14ac:dyDescent="0.25">
      <c r="B116" t="s">
        <v>71</v>
      </c>
      <c r="C116" t="s">
        <v>479</v>
      </c>
      <c r="D116" t="str">
        <f>IF(_xlfn.XLOOKUP(C116, ABZ!A:A, ABZ!B:B, "", 0) = 0, "", _xlfn.XLOOKUP(C116, ABZ!A:A, ABZ!B:B, "", 0))</f>
        <v>D2C-MarketingContent</v>
      </c>
      <c r="E116" t="s">
        <v>834</v>
      </c>
      <c r="F116" t="s">
        <v>527</v>
      </c>
      <c r="I116">
        <f t="shared" si="3"/>
        <v>0</v>
      </c>
      <c r="L116" s="9">
        <v>46042</v>
      </c>
      <c r="M116" s="9">
        <v>46049</v>
      </c>
      <c r="N116" s="18">
        <f t="shared" ca="1" si="4"/>
        <v>7</v>
      </c>
      <c r="O116" s="9">
        <v>46050</v>
      </c>
      <c r="P116" s="9" t="str">
        <f t="shared" si="5"/>
        <v>✅ Ja</v>
      </c>
      <c r="Q116" t="s">
        <v>839</v>
      </c>
      <c r="S116" t="s">
        <v>841</v>
      </c>
      <c r="T116" t="s">
        <v>540</v>
      </c>
      <c r="U116" t="s">
        <v>574</v>
      </c>
    </row>
    <row r="117" spans="2:21" x14ac:dyDescent="0.25">
      <c r="B117" t="s">
        <v>71</v>
      </c>
      <c r="C117" t="s">
        <v>479</v>
      </c>
      <c r="D117" t="str">
        <f>IF(_xlfn.XLOOKUP(C117, ABZ!A:A, ABZ!B:B, "", 0) = 0, "", _xlfn.XLOOKUP(C117, ABZ!A:A, ABZ!B:B, "", 0))</f>
        <v>D2C-MarketingContent</v>
      </c>
      <c r="E117" t="s">
        <v>834</v>
      </c>
      <c r="F117" t="s">
        <v>527</v>
      </c>
      <c r="I117">
        <f t="shared" si="3"/>
        <v>0</v>
      </c>
      <c r="L117" s="9">
        <v>46042</v>
      </c>
      <c r="M117" s="9">
        <v>46049</v>
      </c>
      <c r="N117" s="18">
        <f t="shared" ca="1" si="4"/>
        <v>7</v>
      </c>
      <c r="O117" s="9">
        <v>46050</v>
      </c>
      <c r="P117" s="9" t="str">
        <f t="shared" si="5"/>
        <v>✅ Ja</v>
      </c>
      <c r="Q117" t="s">
        <v>840</v>
      </c>
      <c r="S117" t="s">
        <v>841</v>
      </c>
      <c r="T117" t="s">
        <v>540</v>
      </c>
      <c r="U117" t="s">
        <v>574</v>
      </c>
    </row>
    <row r="118" spans="2:21" x14ac:dyDescent="0.25">
      <c r="B118" t="s">
        <v>71</v>
      </c>
      <c r="C118" t="s">
        <v>479</v>
      </c>
      <c r="D118" t="str">
        <f>IF(_xlfn.XLOOKUP(C118, ABZ!A:A, ABZ!B:B, "", 0) = 0, "", _xlfn.XLOOKUP(C118, ABZ!A:A, ABZ!B:B, "", 0))</f>
        <v>D2C-MarketingContent</v>
      </c>
      <c r="E118" t="s">
        <v>834</v>
      </c>
      <c r="F118" t="s">
        <v>528</v>
      </c>
      <c r="I118">
        <f t="shared" si="3"/>
        <v>0</v>
      </c>
      <c r="L118" s="9">
        <v>46042</v>
      </c>
      <c r="M118" s="9">
        <v>46049</v>
      </c>
      <c r="N118" s="18">
        <f t="shared" ca="1" si="4"/>
        <v>7</v>
      </c>
      <c r="O118" s="9">
        <v>46050</v>
      </c>
      <c r="P118" s="9" t="str">
        <f t="shared" si="5"/>
        <v>✅ Ja</v>
      </c>
      <c r="Q118" t="s">
        <v>841</v>
      </c>
      <c r="S118" t="s">
        <v>841</v>
      </c>
      <c r="T118" t="s">
        <v>540</v>
      </c>
      <c r="U118" t="s">
        <v>574</v>
      </c>
    </row>
    <row r="119" spans="2:21" x14ac:dyDescent="0.25">
      <c r="B119" t="s">
        <v>71</v>
      </c>
      <c r="C119" t="s">
        <v>479</v>
      </c>
      <c r="D119" t="str">
        <f>IF(_xlfn.XLOOKUP(C119, ABZ!A:A, ABZ!B:B, "", 0) = 0, "", _xlfn.XLOOKUP(C119, ABZ!A:A, ABZ!B:B, "", 0))</f>
        <v>D2C-MarketingContent</v>
      </c>
      <c r="E119" t="s">
        <v>834</v>
      </c>
      <c r="F119" t="s">
        <v>527</v>
      </c>
      <c r="I119">
        <f t="shared" si="3"/>
        <v>0</v>
      </c>
      <c r="L119" s="9">
        <v>46042</v>
      </c>
      <c r="M119" s="9">
        <v>46049</v>
      </c>
      <c r="N119" s="18">
        <f t="shared" ca="1" si="4"/>
        <v>7</v>
      </c>
      <c r="O119" s="9">
        <v>46050</v>
      </c>
      <c r="P119" s="9" t="str">
        <f t="shared" si="5"/>
        <v>✅ Ja</v>
      </c>
      <c r="Q119" t="s">
        <v>836</v>
      </c>
      <c r="S119" t="s">
        <v>841</v>
      </c>
      <c r="T119" t="s">
        <v>540</v>
      </c>
      <c r="U119" t="s">
        <v>574</v>
      </c>
    </row>
    <row r="120" spans="2:21" x14ac:dyDescent="0.25">
      <c r="B120" t="s">
        <v>72</v>
      </c>
      <c r="C120" t="s">
        <v>480</v>
      </c>
      <c r="D120" t="str">
        <f>IF(_xlfn.XLOOKUP(C120, ABZ!A:A, ABZ!B:B, "", 0) = 0, "", _xlfn.XLOOKUP(C120, ABZ!A:A, ABZ!B:B, "", 0))</f>
        <v>D2C-MarketingContent</v>
      </c>
      <c r="E120" t="s">
        <v>834</v>
      </c>
      <c r="F120" t="s">
        <v>529</v>
      </c>
      <c r="I120">
        <f t="shared" si="3"/>
        <v>0</v>
      </c>
      <c r="L120" s="9">
        <v>46042</v>
      </c>
      <c r="M120" s="9">
        <v>46042</v>
      </c>
      <c r="N120" s="18">
        <f t="shared" ca="1" si="4"/>
        <v>0</v>
      </c>
      <c r="O120" s="9">
        <v>46052</v>
      </c>
      <c r="P120" s="9" t="str">
        <f t="shared" si="5"/>
        <v>✅ Ja</v>
      </c>
      <c r="Q120" t="s">
        <v>846</v>
      </c>
      <c r="S120" t="s">
        <v>841</v>
      </c>
      <c r="T120" t="s">
        <v>540</v>
      </c>
      <c r="U120" t="s">
        <v>574</v>
      </c>
    </row>
    <row r="121" spans="2:21" x14ac:dyDescent="0.25">
      <c r="B121" t="s">
        <v>73</v>
      </c>
      <c r="C121" t="s">
        <v>480</v>
      </c>
      <c r="D121" t="str">
        <f>IF(_xlfn.XLOOKUP(C121, ABZ!A:A, ABZ!B:B, "", 0) = 0, "", _xlfn.XLOOKUP(C121, ABZ!A:A, ABZ!B:B, "", 0))</f>
        <v>D2C-MarketingContent</v>
      </c>
      <c r="E121" t="s">
        <v>834</v>
      </c>
      <c r="F121" t="s">
        <v>527</v>
      </c>
      <c r="I121">
        <f t="shared" si="3"/>
        <v>0</v>
      </c>
      <c r="L121" s="9">
        <v>46042</v>
      </c>
      <c r="M121" s="9">
        <v>46052</v>
      </c>
      <c r="N121" s="18">
        <f t="shared" ca="1" si="4"/>
        <v>10</v>
      </c>
      <c r="O121" s="9">
        <v>46052</v>
      </c>
      <c r="P121" s="9" t="str">
        <f t="shared" si="5"/>
        <v>✅ Ja</v>
      </c>
      <c r="Q121" t="s">
        <v>836</v>
      </c>
      <c r="S121" t="s">
        <v>841</v>
      </c>
      <c r="T121" t="s">
        <v>540</v>
      </c>
      <c r="U121" t="s">
        <v>574</v>
      </c>
    </row>
    <row r="122" spans="2:21" x14ac:dyDescent="0.25">
      <c r="B122" t="s">
        <v>74</v>
      </c>
      <c r="C122" t="s">
        <v>480</v>
      </c>
      <c r="D122" t="str">
        <f>IF(_xlfn.XLOOKUP(C122, ABZ!A:A, ABZ!B:B, "", 0) = 0, "", _xlfn.XLOOKUP(C122, ABZ!A:A, ABZ!B:B, "", 0))</f>
        <v>D2C-MarketingContent</v>
      </c>
      <c r="E122" t="s">
        <v>834</v>
      </c>
      <c r="F122" t="s">
        <v>527</v>
      </c>
      <c r="I122">
        <f t="shared" si="3"/>
        <v>0</v>
      </c>
      <c r="L122" s="9">
        <v>46042</v>
      </c>
      <c r="M122" s="9">
        <v>46050</v>
      </c>
      <c r="N122" s="18">
        <f t="shared" ca="1" si="4"/>
        <v>8</v>
      </c>
      <c r="O122" s="9">
        <v>46052</v>
      </c>
      <c r="P122" s="9" t="str">
        <f t="shared" si="5"/>
        <v>✅ Ja</v>
      </c>
      <c r="Q122" t="s">
        <v>840</v>
      </c>
      <c r="S122" t="s">
        <v>841</v>
      </c>
      <c r="T122" t="s">
        <v>540</v>
      </c>
      <c r="U122" t="s">
        <v>574</v>
      </c>
    </row>
    <row r="123" spans="2:21" x14ac:dyDescent="0.25">
      <c r="B123" t="s">
        <v>75</v>
      </c>
      <c r="C123" t="s">
        <v>481</v>
      </c>
      <c r="D123" t="str">
        <f>IF(_xlfn.XLOOKUP(C123, ABZ!A:A, ABZ!B:B, "", 0) = 0, "", _xlfn.XLOOKUP(C123, ABZ!A:A, ABZ!B:B, "", 0))</f>
        <v>SUP-TechnicalCommunication-TCO</v>
      </c>
      <c r="E123" t="s">
        <v>834</v>
      </c>
      <c r="F123" t="s">
        <v>528</v>
      </c>
      <c r="I123">
        <f t="shared" si="3"/>
        <v>1</v>
      </c>
      <c r="L123" s="9">
        <v>46043</v>
      </c>
      <c r="M123" s="9">
        <v>46043</v>
      </c>
      <c r="N123" s="18">
        <f t="shared" ca="1" si="4"/>
        <v>0</v>
      </c>
      <c r="O123" s="9">
        <v>46045</v>
      </c>
      <c r="P123" s="9" t="str">
        <f t="shared" si="5"/>
        <v>✅ Ja</v>
      </c>
      <c r="Q123" t="s">
        <v>841</v>
      </c>
      <c r="S123" t="s">
        <v>841</v>
      </c>
      <c r="T123" t="s">
        <v>540</v>
      </c>
      <c r="U123" t="s">
        <v>575</v>
      </c>
    </row>
    <row r="124" spans="2:21" x14ac:dyDescent="0.25">
      <c r="B124" t="s">
        <v>75</v>
      </c>
      <c r="C124" t="s">
        <v>481</v>
      </c>
      <c r="D124" t="str">
        <f>IF(_xlfn.XLOOKUP(C124, ABZ!A:A, ABZ!B:B, "", 0) = 0, "", _xlfn.XLOOKUP(C124, ABZ!A:A, ABZ!B:B, "", 0))</f>
        <v>SUP-TechnicalCommunication-TCO</v>
      </c>
      <c r="E124" t="s">
        <v>834</v>
      </c>
      <c r="F124" t="s">
        <v>527</v>
      </c>
      <c r="I124">
        <f t="shared" si="3"/>
        <v>1</v>
      </c>
      <c r="L124" s="9">
        <v>46043</v>
      </c>
      <c r="M124" s="9">
        <v>46044</v>
      </c>
      <c r="N124" s="18">
        <f t="shared" ca="1" si="4"/>
        <v>1</v>
      </c>
      <c r="O124" s="9">
        <v>46045</v>
      </c>
      <c r="P124" s="9" t="str">
        <f t="shared" si="5"/>
        <v>✅ Ja</v>
      </c>
      <c r="Q124" t="s">
        <v>839</v>
      </c>
      <c r="S124" t="s">
        <v>841</v>
      </c>
      <c r="T124" t="s">
        <v>540</v>
      </c>
      <c r="U124" t="s">
        <v>576</v>
      </c>
    </row>
    <row r="125" spans="2:21" x14ac:dyDescent="0.25">
      <c r="B125" t="s">
        <v>75</v>
      </c>
      <c r="C125" t="s">
        <v>481</v>
      </c>
      <c r="D125" t="str">
        <f>IF(_xlfn.XLOOKUP(C125, ABZ!A:A, ABZ!B:B, "", 0) = 0, "", _xlfn.XLOOKUP(C125, ABZ!A:A, ABZ!B:B, "", 0))</f>
        <v>SUP-TechnicalCommunication-TCO</v>
      </c>
      <c r="E125" t="s">
        <v>834</v>
      </c>
      <c r="F125" t="s">
        <v>527</v>
      </c>
      <c r="I125">
        <f t="shared" si="3"/>
        <v>1</v>
      </c>
      <c r="L125" s="9">
        <v>46043</v>
      </c>
      <c r="M125" s="9">
        <v>46045</v>
      </c>
      <c r="N125" s="18">
        <f t="shared" ca="1" si="4"/>
        <v>2</v>
      </c>
      <c r="O125" s="9">
        <v>46045</v>
      </c>
      <c r="P125" s="9" t="str">
        <f t="shared" si="5"/>
        <v>✅ Ja</v>
      </c>
      <c r="Q125" t="s">
        <v>836</v>
      </c>
      <c r="S125" t="s">
        <v>841</v>
      </c>
      <c r="T125" t="s">
        <v>540</v>
      </c>
      <c r="U125" t="s">
        <v>576</v>
      </c>
    </row>
    <row r="126" spans="2:21" x14ac:dyDescent="0.25">
      <c r="B126" t="s">
        <v>76</v>
      </c>
      <c r="C126" t="s">
        <v>460</v>
      </c>
      <c r="D126" t="str">
        <f>IF(_xlfn.XLOOKUP(C126, ABZ!A:A, ABZ!B:B, "", 0) = 0, "", _xlfn.XLOOKUP(C126, ABZ!A:A, ABZ!B:B, "", 0))</f>
        <v>ENT-PM-F-OS</v>
      </c>
      <c r="E126" t="s">
        <v>835</v>
      </c>
      <c r="F126" t="s">
        <v>532</v>
      </c>
      <c r="H126">
        <v>2</v>
      </c>
      <c r="I126">
        <f t="shared" si="3"/>
        <v>1</v>
      </c>
      <c r="J126" t="s">
        <v>875</v>
      </c>
      <c r="L126" s="9">
        <v>46043</v>
      </c>
      <c r="M126" s="9">
        <v>46043</v>
      </c>
      <c r="N126" s="18">
        <f t="shared" ca="1" si="4"/>
        <v>0</v>
      </c>
      <c r="O126" s="9">
        <v>46043</v>
      </c>
      <c r="P126" s="9" t="str">
        <f t="shared" si="5"/>
        <v>✅ Ja</v>
      </c>
      <c r="Q126" t="s">
        <v>838</v>
      </c>
      <c r="S126" t="s">
        <v>838</v>
      </c>
      <c r="T126" t="s">
        <v>540</v>
      </c>
      <c r="U126" t="s">
        <v>542</v>
      </c>
    </row>
    <row r="127" spans="2:21" x14ac:dyDescent="0.25">
      <c r="B127" t="s">
        <v>77</v>
      </c>
      <c r="C127" t="s">
        <v>460</v>
      </c>
      <c r="D127" t="str">
        <f>IF(_xlfn.XLOOKUP(C127, ABZ!A:A, ABZ!B:B, "", 0) = 0, "", _xlfn.XLOOKUP(C127, ABZ!A:A, ABZ!B:B, "", 0))</f>
        <v>ENT-PM-F-OS</v>
      </c>
      <c r="E127" t="s">
        <v>834</v>
      </c>
      <c r="F127" t="s">
        <v>529</v>
      </c>
      <c r="I127">
        <f t="shared" si="3"/>
        <v>1</v>
      </c>
      <c r="J127" t="s">
        <v>875</v>
      </c>
      <c r="L127" s="9">
        <v>46043</v>
      </c>
      <c r="M127" s="9">
        <v>46043</v>
      </c>
      <c r="N127" s="18">
        <f t="shared" ca="1" si="4"/>
        <v>0</v>
      </c>
      <c r="O127" s="9">
        <v>46043</v>
      </c>
      <c r="P127" s="9" t="str">
        <f t="shared" si="5"/>
        <v>✅ Ja</v>
      </c>
      <c r="Q127" t="s">
        <v>837</v>
      </c>
      <c r="S127" t="s">
        <v>838</v>
      </c>
      <c r="T127" t="s">
        <v>540</v>
      </c>
      <c r="U127" t="s">
        <v>542</v>
      </c>
    </row>
    <row r="128" spans="2:21" x14ac:dyDescent="0.25">
      <c r="B128" t="s">
        <v>78</v>
      </c>
      <c r="C128" t="s">
        <v>482</v>
      </c>
      <c r="D128" t="str">
        <f>IF(_xlfn.XLOOKUP(C128, ABZ!A:A, ABZ!B:B, "", 0) = 0, "", _xlfn.XLOOKUP(C128, ABZ!A:A, ABZ!B:B, "", 0))</f>
        <v>KOM-Marketing</v>
      </c>
      <c r="E128" t="s">
        <v>834</v>
      </c>
      <c r="F128" t="s">
        <v>529</v>
      </c>
      <c r="I128">
        <f t="shared" si="3"/>
        <v>0</v>
      </c>
      <c r="J128" t="s">
        <v>875</v>
      </c>
      <c r="L128" s="9">
        <v>46043</v>
      </c>
      <c r="M128" s="9">
        <v>46044</v>
      </c>
      <c r="N128" s="18">
        <f t="shared" ca="1" si="4"/>
        <v>1</v>
      </c>
      <c r="O128" s="9">
        <v>46049</v>
      </c>
      <c r="P128" s="9" t="str">
        <f t="shared" si="5"/>
        <v>✅ Ja</v>
      </c>
      <c r="Q128" t="s">
        <v>845</v>
      </c>
      <c r="S128" t="s">
        <v>840</v>
      </c>
      <c r="T128" t="s">
        <v>540</v>
      </c>
      <c r="U128" t="s">
        <v>546</v>
      </c>
    </row>
    <row r="129" spans="2:21" x14ac:dyDescent="0.25">
      <c r="B129" t="s">
        <v>79</v>
      </c>
      <c r="C129" t="s">
        <v>483</v>
      </c>
      <c r="D129" t="str">
        <f>IF(_xlfn.XLOOKUP(C129, ABZ!A:A, ABZ!B:B, "", 0) = 0, "", _xlfn.XLOOKUP(C129, ABZ!A:A, ABZ!B:B, "", 0))</f>
        <v>SUP-TCO-KnowledgeManagement</v>
      </c>
      <c r="E129" t="s">
        <v>834</v>
      </c>
      <c r="F129" t="s">
        <v>882</v>
      </c>
      <c r="I129">
        <f t="shared" si="3"/>
        <v>0</v>
      </c>
      <c r="J129" t="s">
        <v>875</v>
      </c>
      <c r="L129" s="9">
        <v>46043</v>
      </c>
      <c r="M129" s="9">
        <v>46043</v>
      </c>
      <c r="N129" s="18">
        <f t="shared" ca="1" si="4"/>
        <v>0</v>
      </c>
      <c r="O129" s="9">
        <v>46052</v>
      </c>
      <c r="P129" s="9" t="str">
        <f t="shared" si="5"/>
        <v>✅ Ja</v>
      </c>
      <c r="Q129" t="s">
        <v>842</v>
      </c>
      <c r="S129" t="s">
        <v>840</v>
      </c>
      <c r="T129" t="s">
        <v>540</v>
      </c>
      <c r="U129" t="s">
        <v>546</v>
      </c>
    </row>
    <row r="130" spans="2:21" x14ac:dyDescent="0.25">
      <c r="B130" t="s">
        <v>80</v>
      </c>
      <c r="C130" t="s">
        <v>484</v>
      </c>
      <c r="D130" t="str">
        <f>IF(_xlfn.XLOOKUP(C130, ABZ!A:A, ABZ!B:B, "", 0) = 0, "", _xlfn.XLOOKUP(C130, ABZ!A:A, ABZ!B:B, "", 0))</f>
        <v>ENT-PM-F-Box</v>
      </c>
      <c r="E130" t="s">
        <v>834</v>
      </c>
      <c r="F130" t="s">
        <v>529</v>
      </c>
      <c r="I130">
        <f t="shared" si="3"/>
        <v>1</v>
      </c>
      <c r="J130" t="s">
        <v>873</v>
      </c>
      <c r="K130">
        <v>151087</v>
      </c>
      <c r="L130" s="9">
        <v>46043</v>
      </c>
      <c r="M130" s="9">
        <v>46044</v>
      </c>
      <c r="N130" s="18">
        <f t="shared" ca="1" si="4"/>
        <v>1</v>
      </c>
      <c r="O130" s="9">
        <v>46045</v>
      </c>
      <c r="P130" s="9" t="str">
        <f t="shared" si="5"/>
        <v>✅ Ja</v>
      </c>
      <c r="Q130" t="s">
        <v>837</v>
      </c>
      <c r="S130" t="s">
        <v>840</v>
      </c>
      <c r="T130" t="s">
        <v>540</v>
      </c>
      <c r="U130" t="s">
        <v>577</v>
      </c>
    </row>
    <row r="131" spans="2:21" x14ac:dyDescent="0.25">
      <c r="B131" t="s">
        <v>81</v>
      </c>
      <c r="C131" t="s">
        <v>465</v>
      </c>
      <c r="D131" t="str">
        <f>IF(_xlfn.XLOOKUP(C131, ABZ!A:A, ABZ!B:B, "", 0) = 0, "", _xlfn.XLOOKUP(C131, ABZ!A:A, ABZ!B:B, "", 0))</f>
        <v>KOM-Marketing</v>
      </c>
      <c r="E131" t="s">
        <v>834</v>
      </c>
      <c r="F131" t="s">
        <v>529</v>
      </c>
      <c r="I131">
        <f t="shared" ref="I131:I194" si="6">IF(AND(O131&lt;&gt;"",L131&lt;&gt;""),IF((O131-L131)&lt;=2,1,0),0)</f>
        <v>1</v>
      </c>
      <c r="J131" t="s">
        <v>874</v>
      </c>
      <c r="L131" s="9">
        <v>46043</v>
      </c>
      <c r="M131" s="9">
        <v>46044</v>
      </c>
      <c r="N131" s="18">
        <f t="shared" ref="N131:N194" ca="1" si="7">IF(M131&lt;&gt;"",M131-L131,TODAY()-L131)</f>
        <v>1</v>
      </c>
      <c r="O131" s="9">
        <v>46044</v>
      </c>
      <c r="P131" s="9" t="str">
        <f t="shared" ref="P131:P194" si="8">IF(M131="","⏳ Offen",IF(M131&lt;=O131,"✅ Ja","❌ Nein"))</f>
        <v>✅ Ja</v>
      </c>
      <c r="Q131" t="s">
        <v>846</v>
      </c>
      <c r="R131" t="s">
        <v>837</v>
      </c>
      <c r="S131" t="s">
        <v>838</v>
      </c>
      <c r="T131" t="s">
        <v>540</v>
      </c>
      <c r="U131" t="s">
        <v>546</v>
      </c>
    </row>
    <row r="132" spans="2:21" x14ac:dyDescent="0.25">
      <c r="B132" t="s">
        <v>82</v>
      </c>
      <c r="C132" t="s">
        <v>467</v>
      </c>
      <c r="D132" t="str">
        <f>IF(_xlfn.XLOOKUP(C132, ABZ!A:A, ABZ!B:B, "", 0) = 0, "", _xlfn.XLOOKUP(C132, ABZ!A:A, ABZ!B:B, "", 0))</f>
        <v>D2C-MarketingContent</v>
      </c>
      <c r="E132" t="s">
        <v>834</v>
      </c>
      <c r="F132" t="s">
        <v>529</v>
      </c>
      <c r="I132">
        <f t="shared" si="6"/>
        <v>0</v>
      </c>
      <c r="L132" s="9">
        <v>46045</v>
      </c>
      <c r="M132" s="9">
        <v>46050</v>
      </c>
      <c r="N132" s="18">
        <f t="shared" ca="1" si="7"/>
        <v>5</v>
      </c>
      <c r="O132" s="9">
        <v>46052</v>
      </c>
      <c r="P132" s="9" t="str">
        <f t="shared" si="8"/>
        <v>✅ Ja</v>
      </c>
      <c r="Q132" t="s">
        <v>846</v>
      </c>
      <c r="S132" t="s">
        <v>841</v>
      </c>
      <c r="T132" t="s">
        <v>540</v>
      </c>
      <c r="U132" t="s">
        <v>578</v>
      </c>
    </row>
    <row r="133" spans="2:21" x14ac:dyDescent="0.25">
      <c r="B133" t="s">
        <v>82</v>
      </c>
      <c r="C133" t="s">
        <v>467</v>
      </c>
      <c r="D133" t="str">
        <f>IF(_xlfn.XLOOKUP(C133, ABZ!A:A, ABZ!B:B, "", 0) = 0, "", _xlfn.XLOOKUP(C133, ABZ!A:A, ABZ!B:B, "", 0))</f>
        <v>D2C-MarketingContent</v>
      </c>
      <c r="E133" t="s">
        <v>834</v>
      </c>
      <c r="F133" t="s">
        <v>530</v>
      </c>
      <c r="I133">
        <f t="shared" si="6"/>
        <v>0</v>
      </c>
      <c r="L133" s="9">
        <v>46045</v>
      </c>
      <c r="M133" s="9">
        <v>46050</v>
      </c>
      <c r="N133" s="18">
        <f t="shared" ca="1" si="7"/>
        <v>5</v>
      </c>
      <c r="O133" s="9">
        <v>46052</v>
      </c>
      <c r="P133" s="9" t="str">
        <f t="shared" si="8"/>
        <v>✅ Ja</v>
      </c>
      <c r="Q133" t="s">
        <v>844</v>
      </c>
      <c r="S133" t="s">
        <v>841</v>
      </c>
      <c r="T133" t="s">
        <v>540</v>
      </c>
      <c r="U133" t="s">
        <v>578</v>
      </c>
    </row>
    <row r="134" spans="2:21" x14ac:dyDescent="0.25">
      <c r="B134" t="s">
        <v>82</v>
      </c>
      <c r="C134" t="s">
        <v>467</v>
      </c>
      <c r="D134" t="str">
        <f>IF(_xlfn.XLOOKUP(C134, ABZ!A:A, ABZ!B:B, "", 0) = 0, "", _xlfn.XLOOKUP(C134, ABZ!A:A, ABZ!B:B, "", 0))</f>
        <v>D2C-MarketingContent</v>
      </c>
      <c r="E134" t="s">
        <v>834</v>
      </c>
      <c r="F134" t="s">
        <v>527</v>
      </c>
      <c r="I134">
        <f t="shared" si="6"/>
        <v>0</v>
      </c>
      <c r="L134" s="9">
        <v>46045</v>
      </c>
      <c r="M134" s="9">
        <v>46050</v>
      </c>
      <c r="N134" s="18">
        <f t="shared" ca="1" si="7"/>
        <v>5</v>
      </c>
      <c r="O134" s="9">
        <v>46052</v>
      </c>
      <c r="P134" s="9" t="str">
        <f t="shared" si="8"/>
        <v>✅ Ja</v>
      </c>
      <c r="Q134" t="s">
        <v>843</v>
      </c>
      <c r="R134" t="s">
        <v>840</v>
      </c>
      <c r="S134" t="s">
        <v>841</v>
      </c>
      <c r="T134" t="s">
        <v>540</v>
      </c>
      <c r="U134" t="s">
        <v>578</v>
      </c>
    </row>
    <row r="135" spans="2:21" x14ac:dyDescent="0.25">
      <c r="B135" t="s">
        <v>82</v>
      </c>
      <c r="C135" t="s">
        <v>467</v>
      </c>
      <c r="D135" t="str">
        <f>IF(_xlfn.XLOOKUP(C135, ABZ!A:A, ABZ!B:B, "", 0) = 0, "", _xlfn.XLOOKUP(C135, ABZ!A:A, ABZ!B:B, "", 0))</f>
        <v>D2C-MarketingContent</v>
      </c>
      <c r="E135" t="s">
        <v>834</v>
      </c>
      <c r="F135" t="s">
        <v>528</v>
      </c>
      <c r="I135">
        <f t="shared" si="6"/>
        <v>0</v>
      </c>
      <c r="L135" s="9">
        <v>46045</v>
      </c>
      <c r="M135" s="9">
        <v>46050</v>
      </c>
      <c r="N135" s="18">
        <f t="shared" ca="1" si="7"/>
        <v>5</v>
      </c>
      <c r="O135" s="9">
        <v>46052</v>
      </c>
      <c r="P135" s="9" t="str">
        <f t="shared" si="8"/>
        <v>✅ Ja</v>
      </c>
      <c r="Q135" t="s">
        <v>841</v>
      </c>
      <c r="S135" t="s">
        <v>841</v>
      </c>
      <c r="T135" t="s">
        <v>540</v>
      </c>
      <c r="U135" t="s">
        <v>578</v>
      </c>
    </row>
    <row r="136" spans="2:21" x14ac:dyDescent="0.25">
      <c r="B136" t="s">
        <v>82</v>
      </c>
      <c r="C136" t="s">
        <v>467</v>
      </c>
      <c r="D136" t="str">
        <f>IF(_xlfn.XLOOKUP(C136, ABZ!A:A, ABZ!B:B, "", 0) = 0, "", _xlfn.XLOOKUP(C136, ABZ!A:A, ABZ!B:B, "", 0))</f>
        <v>D2C-MarketingContent</v>
      </c>
      <c r="E136" t="s">
        <v>834</v>
      </c>
      <c r="F136" t="s">
        <v>527</v>
      </c>
      <c r="I136">
        <f t="shared" si="6"/>
        <v>0</v>
      </c>
      <c r="L136" s="9">
        <v>46045</v>
      </c>
      <c r="M136" s="9">
        <v>46052</v>
      </c>
      <c r="N136" s="18">
        <f t="shared" ca="1" si="7"/>
        <v>7</v>
      </c>
      <c r="O136" s="9">
        <v>46052</v>
      </c>
      <c r="P136" s="9" t="str">
        <f t="shared" si="8"/>
        <v>✅ Ja</v>
      </c>
      <c r="Q136" t="s">
        <v>836</v>
      </c>
      <c r="S136" t="s">
        <v>841</v>
      </c>
      <c r="T136" t="s">
        <v>540</v>
      </c>
      <c r="U136" t="s">
        <v>578</v>
      </c>
    </row>
    <row r="137" spans="2:21" x14ac:dyDescent="0.25">
      <c r="B137" t="s">
        <v>83</v>
      </c>
      <c r="C137" t="s">
        <v>467</v>
      </c>
      <c r="D137" t="str">
        <f>IF(_xlfn.XLOOKUP(C137, ABZ!A:A, ABZ!B:B, "", 0) = 0, "", _xlfn.XLOOKUP(C137, ABZ!A:A, ABZ!B:B, "", 0))</f>
        <v>D2C-MarketingContent</v>
      </c>
      <c r="E137" t="s">
        <v>834</v>
      </c>
      <c r="F137" t="s">
        <v>529</v>
      </c>
      <c r="I137">
        <f t="shared" si="6"/>
        <v>0</v>
      </c>
      <c r="L137" s="9">
        <v>46045</v>
      </c>
      <c r="M137" s="9">
        <v>46052</v>
      </c>
      <c r="N137" s="18">
        <f t="shared" ca="1" si="7"/>
        <v>7</v>
      </c>
      <c r="O137" s="9">
        <v>46052</v>
      </c>
      <c r="P137" s="9" t="str">
        <f t="shared" si="8"/>
        <v>✅ Ja</v>
      </c>
      <c r="Q137" t="s">
        <v>846</v>
      </c>
      <c r="S137" t="s">
        <v>841</v>
      </c>
      <c r="T137" t="s">
        <v>540</v>
      </c>
      <c r="U137" t="s">
        <v>578</v>
      </c>
    </row>
    <row r="138" spans="2:21" x14ac:dyDescent="0.25">
      <c r="B138" t="s">
        <v>83</v>
      </c>
      <c r="C138" t="s">
        <v>467</v>
      </c>
      <c r="D138" t="str">
        <f>IF(_xlfn.XLOOKUP(C138, ABZ!A:A, ABZ!B:B, "", 0) = 0, "", _xlfn.XLOOKUP(C138, ABZ!A:A, ABZ!B:B, "", 0))</f>
        <v>D2C-MarketingContent</v>
      </c>
      <c r="E138" t="s">
        <v>834</v>
      </c>
      <c r="F138" t="s">
        <v>530</v>
      </c>
      <c r="I138">
        <f t="shared" si="6"/>
        <v>0</v>
      </c>
      <c r="L138" s="9">
        <v>46045</v>
      </c>
      <c r="M138" s="9">
        <v>46052</v>
      </c>
      <c r="N138" s="18">
        <f t="shared" ca="1" si="7"/>
        <v>7</v>
      </c>
      <c r="O138" s="9">
        <v>46052</v>
      </c>
      <c r="P138" s="9" t="str">
        <f t="shared" si="8"/>
        <v>✅ Ja</v>
      </c>
      <c r="Q138" t="s">
        <v>844</v>
      </c>
      <c r="S138" t="s">
        <v>841</v>
      </c>
      <c r="T138" t="s">
        <v>540</v>
      </c>
      <c r="U138" t="s">
        <v>578</v>
      </c>
    </row>
    <row r="139" spans="2:21" x14ac:dyDescent="0.25">
      <c r="B139" t="s">
        <v>83</v>
      </c>
      <c r="C139" t="s">
        <v>467</v>
      </c>
      <c r="D139" t="str">
        <f>IF(_xlfn.XLOOKUP(C139, ABZ!A:A, ABZ!B:B, "", 0) = 0, "", _xlfn.XLOOKUP(C139, ABZ!A:A, ABZ!B:B, "", 0))</f>
        <v>D2C-MarketingContent</v>
      </c>
      <c r="E139" t="s">
        <v>834</v>
      </c>
      <c r="F139" t="s">
        <v>527</v>
      </c>
      <c r="I139">
        <f t="shared" si="6"/>
        <v>0</v>
      </c>
      <c r="L139" s="9">
        <v>46045</v>
      </c>
      <c r="M139" s="9">
        <v>46052</v>
      </c>
      <c r="N139" s="18">
        <f t="shared" ca="1" si="7"/>
        <v>7</v>
      </c>
      <c r="O139" s="9">
        <v>46052</v>
      </c>
      <c r="P139" s="9" t="str">
        <f t="shared" si="8"/>
        <v>✅ Ja</v>
      </c>
      <c r="Q139" t="s">
        <v>843</v>
      </c>
      <c r="S139" t="s">
        <v>841</v>
      </c>
      <c r="T139" t="s">
        <v>540</v>
      </c>
      <c r="U139" t="s">
        <v>578</v>
      </c>
    </row>
    <row r="140" spans="2:21" x14ac:dyDescent="0.25">
      <c r="B140" t="s">
        <v>83</v>
      </c>
      <c r="C140" t="s">
        <v>467</v>
      </c>
      <c r="D140" t="str">
        <f>IF(_xlfn.XLOOKUP(C140, ABZ!A:A, ABZ!B:B, "", 0) = 0, "", _xlfn.XLOOKUP(C140, ABZ!A:A, ABZ!B:B, "", 0))</f>
        <v>D2C-MarketingContent</v>
      </c>
      <c r="E140" t="s">
        <v>834</v>
      </c>
      <c r="F140" t="s">
        <v>528</v>
      </c>
      <c r="I140">
        <f t="shared" si="6"/>
        <v>0</v>
      </c>
      <c r="L140" s="9">
        <v>46045</v>
      </c>
      <c r="M140" s="9">
        <v>46052</v>
      </c>
      <c r="N140" s="18">
        <f t="shared" ca="1" si="7"/>
        <v>7</v>
      </c>
      <c r="O140" s="9">
        <v>46052</v>
      </c>
      <c r="P140" s="9" t="str">
        <f t="shared" si="8"/>
        <v>✅ Ja</v>
      </c>
      <c r="Q140" t="s">
        <v>841</v>
      </c>
      <c r="S140" t="s">
        <v>841</v>
      </c>
      <c r="T140" t="s">
        <v>540</v>
      </c>
      <c r="U140" t="s">
        <v>578</v>
      </c>
    </row>
    <row r="141" spans="2:21" x14ac:dyDescent="0.25">
      <c r="B141" t="s">
        <v>83</v>
      </c>
      <c r="C141" t="s">
        <v>467</v>
      </c>
      <c r="D141" t="str">
        <f>IF(_xlfn.XLOOKUP(C141, ABZ!A:A, ABZ!B:B, "", 0) = 0, "", _xlfn.XLOOKUP(C141, ABZ!A:A, ABZ!B:B, "", 0))</f>
        <v>D2C-MarketingContent</v>
      </c>
      <c r="E141" t="s">
        <v>834</v>
      </c>
      <c r="F141" t="s">
        <v>527</v>
      </c>
      <c r="I141">
        <f t="shared" si="6"/>
        <v>0</v>
      </c>
      <c r="L141" s="9">
        <v>46045</v>
      </c>
      <c r="M141" s="9">
        <v>46052</v>
      </c>
      <c r="N141" s="18">
        <f t="shared" ca="1" si="7"/>
        <v>7</v>
      </c>
      <c r="O141" s="9">
        <v>46052</v>
      </c>
      <c r="P141" s="9" t="str">
        <f t="shared" si="8"/>
        <v>✅ Ja</v>
      </c>
      <c r="Q141" t="s">
        <v>836</v>
      </c>
      <c r="S141" t="s">
        <v>841</v>
      </c>
      <c r="T141" t="s">
        <v>540</v>
      </c>
      <c r="U141" t="s">
        <v>578</v>
      </c>
    </row>
    <row r="142" spans="2:21" x14ac:dyDescent="0.25">
      <c r="B142" t="s">
        <v>84</v>
      </c>
      <c r="C142" t="s">
        <v>467</v>
      </c>
      <c r="D142" t="str">
        <f>IF(_xlfn.XLOOKUP(C142, ABZ!A:A, ABZ!B:B, "", 0) = 0, "", _xlfn.XLOOKUP(C142, ABZ!A:A, ABZ!B:B, "", 0))</f>
        <v>D2C-MarketingContent</v>
      </c>
      <c r="E142" t="s">
        <v>834</v>
      </c>
      <c r="F142" t="s">
        <v>529</v>
      </c>
      <c r="I142">
        <f t="shared" si="6"/>
        <v>0</v>
      </c>
      <c r="L142" s="9">
        <v>46045</v>
      </c>
      <c r="M142" s="9">
        <v>46052</v>
      </c>
      <c r="N142" s="18">
        <f t="shared" ca="1" si="7"/>
        <v>7</v>
      </c>
      <c r="O142" s="9">
        <v>46052</v>
      </c>
      <c r="P142" s="9" t="str">
        <f t="shared" si="8"/>
        <v>✅ Ja</v>
      </c>
      <c r="Q142" t="s">
        <v>846</v>
      </c>
      <c r="S142" t="s">
        <v>841</v>
      </c>
      <c r="T142" t="s">
        <v>540</v>
      </c>
      <c r="U142" t="s">
        <v>578</v>
      </c>
    </row>
    <row r="143" spans="2:21" x14ac:dyDescent="0.25">
      <c r="B143" t="s">
        <v>84</v>
      </c>
      <c r="C143" t="s">
        <v>467</v>
      </c>
      <c r="D143" t="str">
        <f>IF(_xlfn.XLOOKUP(C143, ABZ!A:A, ABZ!B:B, "", 0) = 0, "", _xlfn.XLOOKUP(C143, ABZ!A:A, ABZ!B:B, "", 0))</f>
        <v>D2C-MarketingContent</v>
      </c>
      <c r="E143" t="s">
        <v>834</v>
      </c>
      <c r="F143" t="s">
        <v>530</v>
      </c>
      <c r="I143">
        <f t="shared" si="6"/>
        <v>0</v>
      </c>
      <c r="L143" s="9">
        <v>46045</v>
      </c>
      <c r="M143" s="9">
        <v>46052</v>
      </c>
      <c r="N143" s="18">
        <f t="shared" ca="1" si="7"/>
        <v>7</v>
      </c>
      <c r="O143" s="9">
        <v>46052</v>
      </c>
      <c r="P143" s="9" t="str">
        <f t="shared" si="8"/>
        <v>✅ Ja</v>
      </c>
      <c r="Q143" t="s">
        <v>844</v>
      </c>
      <c r="S143" t="s">
        <v>841</v>
      </c>
      <c r="T143" t="s">
        <v>540</v>
      </c>
      <c r="U143" t="s">
        <v>578</v>
      </c>
    </row>
    <row r="144" spans="2:21" x14ac:dyDescent="0.25">
      <c r="B144" t="s">
        <v>84</v>
      </c>
      <c r="C144" t="s">
        <v>467</v>
      </c>
      <c r="D144" t="str">
        <f>IF(_xlfn.XLOOKUP(C144, ABZ!A:A, ABZ!B:B, "", 0) = 0, "", _xlfn.XLOOKUP(C144, ABZ!A:A, ABZ!B:B, "", 0))</f>
        <v>D2C-MarketingContent</v>
      </c>
      <c r="E144" t="s">
        <v>834</v>
      </c>
      <c r="F144" t="s">
        <v>527</v>
      </c>
      <c r="I144">
        <f t="shared" si="6"/>
        <v>0</v>
      </c>
      <c r="L144" s="9">
        <v>46045</v>
      </c>
      <c r="M144" s="9">
        <v>46052</v>
      </c>
      <c r="N144" s="18">
        <f t="shared" ca="1" si="7"/>
        <v>7</v>
      </c>
      <c r="O144" s="9">
        <v>46052</v>
      </c>
      <c r="P144" s="9" t="str">
        <f t="shared" si="8"/>
        <v>✅ Ja</v>
      </c>
      <c r="Q144" t="s">
        <v>843</v>
      </c>
      <c r="S144" t="s">
        <v>841</v>
      </c>
      <c r="T144" t="s">
        <v>540</v>
      </c>
      <c r="U144" t="s">
        <v>578</v>
      </c>
    </row>
    <row r="145" spans="2:21" x14ac:dyDescent="0.25">
      <c r="B145" t="s">
        <v>84</v>
      </c>
      <c r="C145" t="s">
        <v>467</v>
      </c>
      <c r="D145" t="str">
        <f>IF(_xlfn.XLOOKUP(C145, ABZ!A:A, ABZ!B:B, "", 0) = 0, "", _xlfn.XLOOKUP(C145, ABZ!A:A, ABZ!B:B, "", 0))</f>
        <v>D2C-MarketingContent</v>
      </c>
      <c r="E145" t="s">
        <v>834</v>
      </c>
      <c r="F145" t="s">
        <v>528</v>
      </c>
      <c r="I145">
        <f t="shared" si="6"/>
        <v>0</v>
      </c>
      <c r="L145" s="9">
        <v>46045</v>
      </c>
      <c r="M145" s="9">
        <v>46052</v>
      </c>
      <c r="N145" s="18">
        <f t="shared" ca="1" si="7"/>
        <v>7</v>
      </c>
      <c r="O145" s="9">
        <v>46052</v>
      </c>
      <c r="P145" s="9" t="str">
        <f t="shared" si="8"/>
        <v>✅ Ja</v>
      </c>
      <c r="Q145" t="s">
        <v>841</v>
      </c>
      <c r="S145" t="s">
        <v>841</v>
      </c>
      <c r="T145" t="s">
        <v>540</v>
      </c>
      <c r="U145" t="s">
        <v>578</v>
      </c>
    </row>
    <row r="146" spans="2:21" x14ac:dyDescent="0.25">
      <c r="B146" t="s">
        <v>84</v>
      </c>
      <c r="C146" t="s">
        <v>467</v>
      </c>
      <c r="D146" t="str">
        <f>IF(_xlfn.XLOOKUP(C146, ABZ!A:A, ABZ!B:B, "", 0) = 0, "", _xlfn.XLOOKUP(C146, ABZ!A:A, ABZ!B:B, "", 0))</f>
        <v>D2C-MarketingContent</v>
      </c>
      <c r="E146" t="s">
        <v>834</v>
      </c>
      <c r="F146" t="s">
        <v>527</v>
      </c>
      <c r="I146">
        <f t="shared" si="6"/>
        <v>0</v>
      </c>
      <c r="L146" s="9">
        <v>46045</v>
      </c>
      <c r="M146" s="9">
        <v>46052</v>
      </c>
      <c r="N146" s="18">
        <f t="shared" ca="1" si="7"/>
        <v>7</v>
      </c>
      <c r="O146" s="9">
        <v>46052</v>
      </c>
      <c r="P146" s="9" t="str">
        <f t="shared" si="8"/>
        <v>✅ Ja</v>
      </c>
      <c r="Q146" t="s">
        <v>836</v>
      </c>
      <c r="S146" t="s">
        <v>841</v>
      </c>
      <c r="T146" t="s">
        <v>540</v>
      </c>
      <c r="U146" t="s">
        <v>578</v>
      </c>
    </row>
    <row r="147" spans="2:21" x14ac:dyDescent="0.25">
      <c r="B147" t="s">
        <v>85</v>
      </c>
      <c r="C147" t="s">
        <v>468</v>
      </c>
      <c r="D147" t="str">
        <f>IF(_xlfn.XLOOKUP(C147, ABZ!A:A, ABZ!B:B, "", 0) = 0, "", _xlfn.XLOOKUP(C147, ABZ!A:A, ABZ!B:B, "", 0))</f>
        <v>SUP-TCO-KnowledgeManagement</v>
      </c>
      <c r="E147" t="s">
        <v>834</v>
      </c>
      <c r="F147" t="s">
        <v>529</v>
      </c>
      <c r="I147">
        <f t="shared" si="6"/>
        <v>1</v>
      </c>
      <c r="L147" s="9">
        <v>46048</v>
      </c>
      <c r="M147" s="9">
        <v>46049</v>
      </c>
      <c r="N147" s="18">
        <f t="shared" ca="1" si="7"/>
        <v>1</v>
      </c>
      <c r="O147" s="9">
        <v>46050</v>
      </c>
      <c r="P147" s="9" t="str">
        <f t="shared" si="8"/>
        <v>✅ Ja</v>
      </c>
      <c r="Q147" t="s">
        <v>837</v>
      </c>
      <c r="S147" t="s">
        <v>840</v>
      </c>
      <c r="T147" t="s">
        <v>540</v>
      </c>
      <c r="U147" t="s">
        <v>579</v>
      </c>
    </row>
    <row r="148" spans="2:21" x14ac:dyDescent="0.25">
      <c r="B148" t="s">
        <v>86</v>
      </c>
      <c r="C148" t="s">
        <v>468</v>
      </c>
      <c r="D148" t="str">
        <f>IF(_xlfn.XLOOKUP(C148, ABZ!A:A, ABZ!B:B, "", 0) = 0, "", _xlfn.XLOOKUP(C148, ABZ!A:A, ABZ!B:B, "", 0))</f>
        <v>SUP-TCO-KnowledgeManagement</v>
      </c>
      <c r="E148" t="s">
        <v>834</v>
      </c>
      <c r="F148" t="s">
        <v>527</v>
      </c>
      <c r="I148">
        <f t="shared" si="6"/>
        <v>1</v>
      </c>
      <c r="L148" s="9">
        <v>46048</v>
      </c>
      <c r="M148" s="9">
        <v>46049</v>
      </c>
      <c r="N148" s="18">
        <f t="shared" ca="1" si="7"/>
        <v>1</v>
      </c>
      <c r="O148" s="9">
        <v>46050</v>
      </c>
      <c r="P148" s="9" t="str">
        <f t="shared" si="8"/>
        <v>✅ Ja</v>
      </c>
      <c r="Q148" t="s">
        <v>836</v>
      </c>
      <c r="S148" t="s">
        <v>840</v>
      </c>
      <c r="T148" t="s">
        <v>540</v>
      </c>
      <c r="U148" t="s">
        <v>580</v>
      </c>
    </row>
    <row r="149" spans="2:21" x14ac:dyDescent="0.25">
      <c r="B149" t="s">
        <v>87</v>
      </c>
      <c r="C149" t="s">
        <v>465</v>
      </c>
      <c r="D149" t="str">
        <f>IF(_xlfn.XLOOKUP(C149, ABZ!A:A, ABZ!B:B, "", 0) = 0, "", _xlfn.XLOOKUP(C149, ABZ!A:A, ABZ!B:B, "", 0))</f>
        <v>KOM-Marketing</v>
      </c>
      <c r="E149" t="s">
        <v>835</v>
      </c>
      <c r="F149" t="s">
        <v>532</v>
      </c>
      <c r="H149">
        <v>3</v>
      </c>
      <c r="I149">
        <f t="shared" si="6"/>
        <v>1</v>
      </c>
      <c r="L149" s="9">
        <v>46048</v>
      </c>
      <c r="M149" s="9">
        <v>46048</v>
      </c>
      <c r="N149" s="18">
        <f t="shared" ca="1" si="7"/>
        <v>0</v>
      </c>
      <c r="O149" s="9">
        <v>46048</v>
      </c>
      <c r="P149" s="9" t="str">
        <f t="shared" si="8"/>
        <v>✅ Ja</v>
      </c>
      <c r="Q149" t="s">
        <v>838</v>
      </c>
      <c r="S149" t="s">
        <v>838</v>
      </c>
      <c r="T149" t="s">
        <v>540</v>
      </c>
      <c r="U149" t="s">
        <v>546</v>
      </c>
    </row>
    <row r="150" spans="2:21" x14ac:dyDescent="0.25">
      <c r="B150" t="s">
        <v>88</v>
      </c>
      <c r="C150" t="s">
        <v>480</v>
      </c>
      <c r="D150" t="str">
        <f>IF(_xlfn.XLOOKUP(C150, ABZ!A:A, ABZ!B:B, "", 0) = 0, "", _xlfn.XLOOKUP(C150, ABZ!A:A, ABZ!B:B, "", 0))</f>
        <v>D2C-MarketingContent</v>
      </c>
      <c r="E150" t="s">
        <v>834</v>
      </c>
      <c r="F150" t="s">
        <v>528</v>
      </c>
      <c r="I150">
        <f t="shared" si="6"/>
        <v>0</v>
      </c>
      <c r="L150" s="9">
        <v>46048</v>
      </c>
      <c r="M150" s="9">
        <v>46048</v>
      </c>
      <c r="N150" s="18">
        <f t="shared" ca="1" si="7"/>
        <v>0</v>
      </c>
      <c r="O150" s="9">
        <v>46055</v>
      </c>
      <c r="P150" s="9" t="str">
        <f t="shared" si="8"/>
        <v>✅ Ja</v>
      </c>
      <c r="Q150" t="s">
        <v>841</v>
      </c>
      <c r="S150" t="s">
        <v>841</v>
      </c>
      <c r="T150" t="s">
        <v>540</v>
      </c>
      <c r="U150" t="s">
        <v>578</v>
      </c>
    </row>
    <row r="151" spans="2:21" x14ac:dyDescent="0.25">
      <c r="B151" t="s">
        <v>88</v>
      </c>
      <c r="C151" t="s">
        <v>480</v>
      </c>
      <c r="D151" t="str">
        <f>IF(_xlfn.XLOOKUP(C151, ABZ!A:A, ABZ!B:B, "", 0) = 0, "", _xlfn.XLOOKUP(C151, ABZ!A:A, ABZ!B:B, "", 0))</f>
        <v>D2C-MarketingContent</v>
      </c>
      <c r="E151" t="s">
        <v>834</v>
      </c>
      <c r="F151" t="s">
        <v>528</v>
      </c>
      <c r="I151">
        <f t="shared" si="6"/>
        <v>0</v>
      </c>
      <c r="L151" s="9">
        <v>46048</v>
      </c>
      <c r="M151" s="9">
        <v>46048</v>
      </c>
      <c r="N151" s="18">
        <f t="shared" ca="1" si="7"/>
        <v>0</v>
      </c>
      <c r="O151" s="9">
        <v>46055</v>
      </c>
      <c r="P151" s="9" t="str">
        <f t="shared" si="8"/>
        <v>✅ Ja</v>
      </c>
      <c r="Q151" t="s">
        <v>841</v>
      </c>
      <c r="S151" t="s">
        <v>841</v>
      </c>
      <c r="T151" t="s">
        <v>540</v>
      </c>
      <c r="U151" t="s">
        <v>578</v>
      </c>
    </row>
    <row r="152" spans="2:21" x14ac:dyDescent="0.25">
      <c r="B152" t="s">
        <v>88</v>
      </c>
      <c r="C152" t="s">
        <v>480</v>
      </c>
      <c r="D152" t="str">
        <f>IF(_xlfn.XLOOKUP(C152, ABZ!A:A, ABZ!B:B, "", 0) = 0, "", _xlfn.XLOOKUP(C152, ABZ!A:A, ABZ!B:B, "", 0))</f>
        <v>D2C-MarketingContent</v>
      </c>
      <c r="E152" t="s">
        <v>834</v>
      </c>
      <c r="F152" t="s">
        <v>528</v>
      </c>
      <c r="I152">
        <f t="shared" si="6"/>
        <v>0</v>
      </c>
      <c r="L152" s="9">
        <v>46048</v>
      </c>
      <c r="M152" s="9">
        <v>46048</v>
      </c>
      <c r="N152" s="18">
        <f t="shared" ca="1" si="7"/>
        <v>0</v>
      </c>
      <c r="O152" s="9">
        <v>46055</v>
      </c>
      <c r="P152" s="9" t="str">
        <f t="shared" si="8"/>
        <v>✅ Ja</v>
      </c>
      <c r="Q152" t="s">
        <v>841</v>
      </c>
      <c r="S152" t="s">
        <v>841</v>
      </c>
      <c r="T152" t="s">
        <v>540</v>
      </c>
      <c r="U152" t="s">
        <v>578</v>
      </c>
    </row>
    <row r="153" spans="2:21" x14ac:dyDescent="0.25">
      <c r="B153" t="s">
        <v>88</v>
      </c>
      <c r="C153" t="s">
        <v>480</v>
      </c>
      <c r="D153" t="str">
        <f>IF(_xlfn.XLOOKUP(C153, ABZ!A:A, ABZ!B:B, "", 0) = 0, "", _xlfn.XLOOKUP(C153, ABZ!A:A, ABZ!B:B, "", 0))</f>
        <v>D2C-MarketingContent</v>
      </c>
      <c r="E153" t="s">
        <v>834</v>
      </c>
      <c r="F153" t="s">
        <v>528</v>
      </c>
      <c r="I153">
        <f t="shared" si="6"/>
        <v>0</v>
      </c>
      <c r="L153" s="9">
        <v>46048</v>
      </c>
      <c r="M153" s="9">
        <v>46048</v>
      </c>
      <c r="N153" s="18">
        <f t="shared" ca="1" si="7"/>
        <v>0</v>
      </c>
      <c r="O153" s="9">
        <v>46055</v>
      </c>
      <c r="P153" s="9" t="str">
        <f t="shared" si="8"/>
        <v>✅ Ja</v>
      </c>
      <c r="Q153" t="s">
        <v>841</v>
      </c>
      <c r="S153" t="s">
        <v>841</v>
      </c>
      <c r="T153" t="s">
        <v>540</v>
      </c>
      <c r="U153" t="s">
        <v>578</v>
      </c>
    </row>
    <row r="154" spans="2:21" x14ac:dyDescent="0.25">
      <c r="B154" t="s">
        <v>88</v>
      </c>
      <c r="C154" t="s">
        <v>480</v>
      </c>
      <c r="D154" t="str">
        <f>IF(_xlfn.XLOOKUP(C154, ABZ!A:A, ABZ!B:B, "", 0) = 0, "", _xlfn.XLOOKUP(C154, ABZ!A:A, ABZ!B:B, "", 0))</f>
        <v>D2C-MarketingContent</v>
      </c>
      <c r="E154" t="s">
        <v>834</v>
      </c>
      <c r="F154" t="s">
        <v>528</v>
      </c>
      <c r="I154">
        <f t="shared" si="6"/>
        <v>0</v>
      </c>
      <c r="L154" s="9">
        <v>46048</v>
      </c>
      <c r="M154" s="9">
        <v>46048</v>
      </c>
      <c r="N154" s="18">
        <f t="shared" ca="1" si="7"/>
        <v>0</v>
      </c>
      <c r="O154" s="9">
        <v>46055</v>
      </c>
      <c r="P154" s="9" t="str">
        <f t="shared" si="8"/>
        <v>✅ Ja</v>
      </c>
      <c r="Q154" t="s">
        <v>841</v>
      </c>
      <c r="S154" t="s">
        <v>841</v>
      </c>
      <c r="T154" t="s">
        <v>540</v>
      </c>
      <c r="U154" t="s">
        <v>578</v>
      </c>
    </row>
    <row r="155" spans="2:21" x14ac:dyDescent="0.25">
      <c r="B155" t="s">
        <v>89</v>
      </c>
      <c r="C155" t="s">
        <v>485</v>
      </c>
      <c r="D155" t="str">
        <f>IF(_xlfn.XLOOKUP(C155, ABZ!A:A, ABZ!B:B, "", 0) = 0, "", _xlfn.XLOOKUP(C155, ABZ!A:A, ABZ!B:B, "", 0))</f>
        <v>VTR-CS-SER-PartnerCommunication</v>
      </c>
      <c r="E155" t="s">
        <v>835</v>
      </c>
      <c r="F155" t="s">
        <v>532</v>
      </c>
      <c r="H155">
        <v>2</v>
      </c>
      <c r="I155">
        <f t="shared" si="6"/>
        <v>0</v>
      </c>
      <c r="J155" t="s">
        <v>874</v>
      </c>
      <c r="L155" s="9">
        <v>46048</v>
      </c>
      <c r="M155" s="9">
        <v>46052</v>
      </c>
      <c r="N155" s="18">
        <f t="shared" ca="1" si="7"/>
        <v>4</v>
      </c>
      <c r="O155" s="9">
        <v>46052</v>
      </c>
      <c r="P155" s="9" t="str">
        <f t="shared" si="8"/>
        <v>✅ Ja</v>
      </c>
      <c r="Q155" t="s">
        <v>838</v>
      </c>
      <c r="S155" t="s">
        <v>838</v>
      </c>
      <c r="T155" t="s">
        <v>540</v>
      </c>
    </row>
    <row r="156" spans="2:21" x14ac:dyDescent="0.25">
      <c r="B156" t="s">
        <v>90</v>
      </c>
      <c r="C156" t="s">
        <v>465</v>
      </c>
      <c r="D156" t="str">
        <f>IF(_xlfn.XLOOKUP(C156, ABZ!A:A, ABZ!B:B, "", 0) = 0, "", _xlfn.XLOOKUP(C156, ABZ!A:A, ABZ!B:B, "", 0))</f>
        <v>KOM-Marketing</v>
      </c>
      <c r="E156" t="s">
        <v>834</v>
      </c>
      <c r="F156" t="s">
        <v>529</v>
      </c>
      <c r="I156">
        <f t="shared" si="6"/>
        <v>1</v>
      </c>
      <c r="L156" s="9">
        <v>46049</v>
      </c>
      <c r="M156" s="9">
        <v>46049</v>
      </c>
      <c r="N156" s="18">
        <f t="shared" ca="1" si="7"/>
        <v>0</v>
      </c>
      <c r="O156" s="9">
        <v>46050</v>
      </c>
      <c r="P156" s="9" t="str">
        <f t="shared" si="8"/>
        <v>✅ Ja</v>
      </c>
      <c r="Q156" t="s">
        <v>846</v>
      </c>
      <c r="R156" t="s">
        <v>837</v>
      </c>
      <c r="S156" t="s">
        <v>838</v>
      </c>
      <c r="T156" t="s">
        <v>540</v>
      </c>
      <c r="U156" t="s">
        <v>546</v>
      </c>
    </row>
    <row r="157" spans="2:21" x14ac:dyDescent="0.25">
      <c r="B157" t="s">
        <v>91</v>
      </c>
      <c r="C157" t="s">
        <v>466</v>
      </c>
      <c r="D157" t="str">
        <f>IF(_xlfn.XLOOKUP(C157, ABZ!A:A, ABZ!B:B, "", 0) = 0, "", _xlfn.XLOOKUP(C157, ABZ!A:A, ABZ!B:B, "", 0))</f>
        <v>VTR-CS-SER-PartnerCommunication</v>
      </c>
      <c r="E157" t="s">
        <v>834</v>
      </c>
      <c r="F157" t="s">
        <v>527</v>
      </c>
      <c r="I157">
        <f t="shared" si="6"/>
        <v>0</v>
      </c>
      <c r="L157" s="9">
        <v>46049</v>
      </c>
      <c r="M157" s="9">
        <v>46055</v>
      </c>
      <c r="N157" s="18">
        <f t="shared" ca="1" si="7"/>
        <v>6</v>
      </c>
      <c r="O157" s="9">
        <v>46059</v>
      </c>
      <c r="P157" s="9" t="str">
        <f t="shared" si="8"/>
        <v>✅ Ja</v>
      </c>
      <c r="Q157" t="s">
        <v>836</v>
      </c>
      <c r="S157" t="s">
        <v>839</v>
      </c>
      <c r="T157" t="s">
        <v>540</v>
      </c>
      <c r="U157" t="s">
        <v>546</v>
      </c>
    </row>
    <row r="158" spans="2:21" x14ac:dyDescent="0.25">
      <c r="B158" t="s">
        <v>92</v>
      </c>
      <c r="C158" t="s">
        <v>474</v>
      </c>
      <c r="D158" t="str">
        <f>IF(_xlfn.XLOOKUP(C158, ABZ!A:A, ABZ!B:B, "", 0) = 0, "", _xlfn.XLOOKUP(C158, ABZ!A:A, ABZ!B:B, "", 0))</f>
        <v>SUP-KS-Verwaltung</v>
      </c>
      <c r="E158" t="s">
        <v>834</v>
      </c>
      <c r="F158" t="s">
        <v>535</v>
      </c>
      <c r="I158">
        <f t="shared" si="6"/>
        <v>1</v>
      </c>
      <c r="J158" t="s">
        <v>875</v>
      </c>
      <c r="L158" s="9">
        <v>46049</v>
      </c>
      <c r="M158" s="9">
        <v>46050</v>
      </c>
      <c r="N158" s="18">
        <f t="shared" ca="1" si="7"/>
        <v>1</v>
      </c>
      <c r="O158" s="9">
        <v>46051</v>
      </c>
      <c r="P158" s="9" t="str">
        <f t="shared" si="8"/>
        <v>✅ Ja</v>
      </c>
      <c r="Q158" t="s">
        <v>842</v>
      </c>
      <c r="S158" t="s">
        <v>840</v>
      </c>
      <c r="T158" t="s">
        <v>540</v>
      </c>
      <c r="U158" t="s">
        <v>581</v>
      </c>
    </row>
    <row r="159" spans="2:21" x14ac:dyDescent="0.25">
      <c r="B159" t="s">
        <v>93</v>
      </c>
      <c r="C159" t="s">
        <v>462</v>
      </c>
      <c r="D159" t="str">
        <f>IF(_xlfn.XLOOKUP(C159, ABZ!A:A, ABZ!B:B, "", 0) = 0, "", _xlfn.XLOOKUP(C159, ABZ!A:A, ABZ!B:B, "", 0))</f>
        <v>SUP-TCO-KnowledgeManagement</v>
      </c>
      <c r="E159" t="s">
        <v>834</v>
      </c>
      <c r="F159" t="s">
        <v>533</v>
      </c>
      <c r="I159">
        <f t="shared" si="6"/>
        <v>0</v>
      </c>
      <c r="J159" t="s">
        <v>875</v>
      </c>
      <c r="K159" t="s">
        <v>852</v>
      </c>
      <c r="L159" s="9">
        <v>46049</v>
      </c>
      <c r="M159" s="9">
        <v>46080</v>
      </c>
      <c r="N159" s="18">
        <f t="shared" ca="1" si="7"/>
        <v>31</v>
      </c>
      <c r="O159" s="9">
        <v>46080</v>
      </c>
      <c r="P159" s="9" t="str">
        <f t="shared" si="8"/>
        <v>✅ Ja</v>
      </c>
      <c r="Q159" t="s">
        <v>842</v>
      </c>
      <c r="S159" t="s">
        <v>838</v>
      </c>
      <c r="T159" t="s">
        <v>540</v>
      </c>
      <c r="U159" t="s">
        <v>582</v>
      </c>
    </row>
    <row r="160" spans="2:21" x14ac:dyDescent="0.25">
      <c r="B160" t="s">
        <v>93</v>
      </c>
      <c r="C160" t="s">
        <v>462</v>
      </c>
      <c r="D160" t="str">
        <f>IF(_xlfn.XLOOKUP(C160, ABZ!A:A, ABZ!B:B, "", 0) = 0, "", _xlfn.XLOOKUP(C160, ABZ!A:A, ABZ!B:B, "", 0))</f>
        <v>SUP-TCO-KnowledgeManagement</v>
      </c>
      <c r="E160" t="s">
        <v>834</v>
      </c>
      <c r="F160" t="s">
        <v>536</v>
      </c>
      <c r="I160">
        <f t="shared" si="6"/>
        <v>0</v>
      </c>
      <c r="J160" t="s">
        <v>875</v>
      </c>
      <c r="K160" t="s">
        <v>852</v>
      </c>
      <c r="L160" s="9">
        <v>46049</v>
      </c>
      <c r="M160" s="9">
        <v>46080</v>
      </c>
      <c r="N160" s="18">
        <f t="shared" ca="1" si="7"/>
        <v>31</v>
      </c>
      <c r="O160" s="9">
        <v>46080</v>
      </c>
      <c r="P160" s="9" t="str">
        <f t="shared" si="8"/>
        <v>✅ Ja</v>
      </c>
      <c r="Q160" t="s">
        <v>842</v>
      </c>
      <c r="S160" t="s">
        <v>838</v>
      </c>
      <c r="T160" t="s">
        <v>540</v>
      </c>
      <c r="U160" t="s">
        <v>582</v>
      </c>
    </row>
    <row r="161" spans="2:21" x14ac:dyDescent="0.25">
      <c r="B161" t="s">
        <v>93</v>
      </c>
      <c r="C161" t="s">
        <v>462</v>
      </c>
      <c r="D161" t="str">
        <f>IF(_xlfn.XLOOKUP(C161, ABZ!A:A, ABZ!B:B, "", 0) = 0, "", _xlfn.XLOOKUP(C161, ABZ!A:A, ABZ!B:B, "", 0))</f>
        <v>SUP-TCO-KnowledgeManagement</v>
      </c>
      <c r="E161" t="s">
        <v>834</v>
      </c>
      <c r="F161" t="s">
        <v>537</v>
      </c>
      <c r="I161">
        <f t="shared" si="6"/>
        <v>0</v>
      </c>
      <c r="J161" t="s">
        <v>875</v>
      </c>
      <c r="K161" t="s">
        <v>852</v>
      </c>
      <c r="L161" s="9">
        <v>46049</v>
      </c>
      <c r="M161" s="9">
        <v>46080</v>
      </c>
      <c r="N161" s="18">
        <f t="shared" ca="1" si="7"/>
        <v>31</v>
      </c>
      <c r="O161" s="9">
        <v>46080</v>
      </c>
      <c r="P161" s="9" t="str">
        <f t="shared" si="8"/>
        <v>✅ Ja</v>
      </c>
      <c r="Q161" t="s">
        <v>842</v>
      </c>
      <c r="S161" t="s">
        <v>838</v>
      </c>
      <c r="T161" t="s">
        <v>540</v>
      </c>
      <c r="U161" t="s">
        <v>582</v>
      </c>
    </row>
    <row r="162" spans="2:21" x14ac:dyDescent="0.25">
      <c r="B162" t="s">
        <v>93</v>
      </c>
      <c r="C162" t="s">
        <v>462</v>
      </c>
      <c r="D162" t="str">
        <f>IF(_xlfn.XLOOKUP(C162, ABZ!A:A, ABZ!B:B, "", 0) = 0, "", _xlfn.XLOOKUP(C162, ABZ!A:A, ABZ!B:B, "", 0))</f>
        <v>SUP-TCO-KnowledgeManagement</v>
      </c>
      <c r="E162" t="s">
        <v>834</v>
      </c>
      <c r="F162" t="s">
        <v>534</v>
      </c>
      <c r="I162">
        <f t="shared" si="6"/>
        <v>0</v>
      </c>
      <c r="J162" t="s">
        <v>875</v>
      </c>
      <c r="K162" t="s">
        <v>852</v>
      </c>
      <c r="L162" s="9">
        <v>46049</v>
      </c>
      <c r="M162" s="9">
        <v>46080</v>
      </c>
      <c r="N162" s="18">
        <f t="shared" ca="1" si="7"/>
        <v>31</v>
      </c>
      <c r="O162" s="9">
        <v>46080</v>
      </c>
      <c r="P162" s="9" t="str">
        <f t="shared" si="8"/>
        <v>✅ Ja</v>
      </c>
      <c r="Q162" t="s">
        <v>842</v>
      </c>
      <c r="S162" t="s">
        <v>838</v>
      </c>
      <c r="T162" t="s">
        <v>540</v>
      </c>
      <c r="U162" t="s">
        <v>582</v>
      </c>
    </row>
    <row r="163" spans="2:21" x14ac:dyDescent="0.25">
      <c r="B163" t="s">
        <v>94</v>
      </c>
      <c r="C163" t="s">
        <v>462</v>
      </c>
      <c r="D163" t="str">
        <f>IF(_xlfn.XLOOKUP(C163, ABZ!A:A, ABZ!B:B, "", 0) = 0, "", _xlfn.XLOOKUP(C163, ABZ!A:A, ABZ!B:B, "", 0))</f>
        <v>SUP-TCO-KnowledgeManagement</v>
      </c>
      <c r="E163" t="s">
        <v>834</v>
      </c>
      <c r="F163" t="s">
        <v>534</v>
      </c>
      <c r="I163">
        <f t="shared" si="6"/>
        <v>0</v>
      </c>
      <c r="J163" t="s">
        <v>875</v>
      </c>
      <c r="K163" t="s">
        <v>853</v>
      </c>
      <c r="L163" s="9">
        <v>46049</v>
      </c>
      <c r="M163" s="9">
        <v>46080</v>
      </c>
      <c r="N163" s="18">
        <f t="shared" ca="1" si="7"/>
        <v>31</v>
      </c>
      <c r="O163" s="9">
        <v>46080</v>
      </c>
      <c r="P163" s="9" t="str">
        <f t="shared" si="8"/>
        <v>✅ Ja</v>
      </c>
      <c r="Q163" t="s">
        <v>842</v>
      </c>
      <c r="S163" t="s">
        <v>838</v>
      </c>
      <c r="T163" t="s">
        <v>540</v>
      </c>
      <c r="U163" t="s">
        <v>583</v>
      </c>
    </row>
    <row r="164" spans="2:21" x14ac:dyDescent="0.25">
      <c r="B164" t="s">
        <v>94</v>
      </c>
      <c r="C164" t="s">
        <v>462</v>
      </c>
      <c r="D164" t="str">
        <f>IF(_xlfn.XLOOKUP(C164, ABZ!A:A, ABZ!B:B, "", 0) = 0, "", _xlfn.XLOOKUP(C164, ABZ!A:A, ABZ!B:B, "", 0))</f>
        <v>SUP-TCO-KnowledgeManagement</v>
      </c>
      <c r="E164" t="s">
        <v>834</v>
      </c>
      <c r="F164" t="s">
        <v>537</v>
      </c>
      <c r="I164">
        <f t="shared" si="6"/>
        <v>0</v>
      </c>
      <c r="J164" t="s">
        <v>875</v>
      </c>
      <c r="K164" t="s">
        <v>853</v>
      </c>
      <c r="L164" s="9">
        <v>46049</v>
      </c>
      <c r="M164" s="9">
        <v>46080</v>
      </c>
      <c r="N164" s="18">
        <f t="shared" ca="1" si="7"/>
        <v>31</v>
      </c>
      <c r="O164" s="9">
        <v>46080</v>
      </c>
      <c r="P164" s="9" t="str">
        <f t="shared" si="8"/>
        <v>✅ Ja</v>
      </c>
      <c r="Q164" t="s">
        <v>842</v>
      </c>
      <c r="S164" t="s">
        <v>838</v>
      </c>
      <c r="T164" t="s">
        <v>540</v>
      </c>
      <c r="U164" t="s">
        <v>583</v>
      </c>
    </row>
    <row r="165" spans="2:21" x14ac:dyDescent="0.25">
      <c r="B165" t="s">
        <v>94</v>
      </c>
      <c r="C165" t="s">
        <v>462</v>
      </c>
      <c r="D165" t="str">
        <f>IF(_xlfn.XLOOKUP(C165, ABZ!A:A, ABZ!B:B, "", 0) = 0, "", _xlfn.XLOOKUP(C165, ABZ!A:A, ABZ!B:B, "", 0))</f>
        <v>SUP-TCO-KnowledgeManagement</v>
      </c>
      <c r="E165" t="s">
        <v>834</v>
      </c>
      <c r="F165" t="s">
        <v>536</v>
      </c>
      <c r="I165">
        <f t="shared" si="6"/>
        <v>0</v>
      </c>
      <c r="J165" t="s">
        <v>875</v>
      </c>
      <c r="K165" t="s">
        <v>853</v>
      </c>
      <c r="L165" s="9">
        <v>46049</v>
      </c>
      <c r="M165" s="9">
        <v>46080</v>
      </c>
      <c r="N165" s="18">
        <f t="shared" ca="1" si="7"/>
        <v>31</v>
      </c>
      <c r="O165" s="9">
        <v>46080</v>
      </c>
      <c r="P165" s="9" t="str">
        <f t="shared" si="8"/>
        <v>✅ Ja</v>
      </c>
      <c r="Q165" t="s">
        <v>842</v>
      </c>
      <c r="S165" t="s">
        <v>838</v>
      </c>
      <c r="T165" t="s">
        <v>540</v>
      </c>
      <c r="U165" t="s">
        <v>583</v>
      </c>
    </row>
    <row r="166" spans="2:21" x14ac:dyDescent="0.25">
      <c r="B166" t="s">
        <v>94</v>
      </c>
      <c r="C166" t="s">
        <v>462</v>
      </c>
      <c r="D166" t="str">
        <f>IF(_xlfn.XLOOKUP(C166, ABZ!A:A, ABZ!B:B, "", 0) = 0, "", _xlfn.XLOOKUP(C166, ABZ!A:A, ABZ!B:B, "", 0))</f>
        <v>SUP-TCO-KnowledgeManagement</v>
      </c>
      <c r="E166" t="s">
        <v>834</v>
      </c>
      <c r="F166" t="s">
        <v>533</v>
      </c>
      <c r="I166">
        <f t="shared" si="6"/>
        <v>0</v>
      </c>
      <c r="J166" t="s">
        <v>875</v>
      </c>
      <c r="K166" t="s">
        <v>853</v>
      </c>
      <c r="L166" s="9">
        <v>46049</v>
      </c>
      <c r="M166" s="9">
        <v>46080</v>
      </c>
      <c r="N166" s="18">
        <f t="shared" ca="1" si="7"/>
        <v>31</v>
      </c>
      <c r="O166" s="9">
        <v>46080</v>
      </c>
      <c r="P166" s="9" t="str">
        <f t="shared" si="8"/>
        <v>✅ Ja</v>
      </c>
      <c r="Q166" t="s">
        <v>842</v>
      </c>
      <c r="S166" t="s">
        <v>838</v>
      </c>
      <c r="T166" t="s">
        <v>540</v>
      </c>
      <c r="U166" t="s">
        <v>583</v>
      </c>
    </row>
    <row r="167" spans="2:21" x14ac:dyDescent="0.25">
      <c r="B167" t="s">
        <v>95</v>
      </c>
      <c r="C167" t="s">
        <v>462</v>
      </c>
      <c r="D167" t="str">
        <f>IF(_xlfn.XLOOKUP(C167, ABZ!A:A, ABZ!B:B, "", 0) = 0, "", _xlfn.XLOOKUP(C167, ABZ!A:A, ABZ!B:B, "", 0))</f>
        <v>SUP-TCO-KnowledgeManagement</v>
      </c>
      <c r="E167" t="s">
        <v>834</v>
      </c>
      <c r="F167" t="s">
        <v>534</v>
      </c>
      <c r="I167">
        <f t="shared" si="6"/>
        <v>0</v>
      </c>
      <c r="J167" t="s">
        <v>875</v>
      </c>
      <c r="K167" t="s">
        <v>854</v>
      </c>
      <c r="L167" s="9">
        <v>46049</v>
      </c>
      <c r="M167" s="9">
        <v>46080</v>
      </c>
      <c r="N167" s="18">
        <f t="shared" ca="1" si="7"/>
        <v>31</v>
      </c>
      <c r="O167" s="9">
        <v>46080</v>
      </c>
      <c r="P167" s="9" t="str">
        <f t="shared" si="8"/>
        <v>✅ Ja</v>
      </c>
      <c r="Q167" t="s">
        <v>842</v>
      </c>
      <c r="S167" t="s">
        <v>838</v>
      </c>
      <c r="T167" t="s">
        <v>540</v>
      </c>
      <c r="U167" t="s">
        <v>584</v>
      </c>
    </row>
    <row r="168" spans="2:21" x14ac:dyDescent="0.25">
      <c r="B168" t="s">
        <v>95</v>
      </c>
      <c r="C168" t="s">
        <v>462</v>
      </c>
      <c r="D168" t="str">
        <f>IF(_xlfn.XLOOKUP(C168, ABZ!A:A, ABZ!B:B, "", 0) = 0, "", _xlfn.XLOOKUP(C168, ABZ!A:A, ABZ!B:B, "", 0))</f>
        <v>SUP-TCO-KnowledgeManagement</v>
      </c>
      <c r="E168" t="s">
        <v>834</v>
      </c>
      <c r="F168" t="s">
        <v>537</v>
      </c>
      <c r="I168">
        <f t="shared" si="6"/>
        <v>0</v>
      </c>
      <c r="J168" t="s">
        <v>875</v>
      </c>
      <c r="K168" t="s">
        <v>854</v>
      </c>
      <c r="L168" s="9">
        <v>46049</v>
      </c>
      <c r="M168" s="9">
        <v>46080</v>
      </c>
      <c r="N168" s="18">
        <f t="shared" ca="1" si="7"/>
        <v>31</v>
      </c>
      <c r="O168" s="9">
        <v>46080</v>
      </c>
      <c r="P168" s="9" t="str">
        <f t="shared" si="8"/>
        <v>✅ Ja</v>
      </c>
      <c r="Q168" t="s">
        <v>842</v>
      </c>
      <c r="S168" t="s">
        <v>838</v>
      </c>
      <c r="T168" t="s">
        <v>540</v>
      </c>
      <c r="U168" t="s">
        <v>584</v>
      </c>
    </row>
    <row r="169" spans="2:21" x14ac:dyDescent="0.25">
      <c r="B169" t="s">
        <v>95</v>
      </c>
      <c r="C169" t="s">
        <v>462</v>
      </c>
      <c r="D169" t="str">
        <f>IF(_xlfn.XLOOKUP(C169, ABZ!A:A, ABZ!B:B, "", 0) = 0, "", _xlfn.XLOOKUP(C169, ABZ!A:A, ABZ!B:B, "", 0))</f>
        <v>SUP-TCO-KnowledgeManagement</v>
      </c>
      <c r="E169" t="s">
        <v>834</v>
      </c>
      <c r="F169" t="s">
        <v>536</v>
      </c>
      <c r="I169">
        <f t="shared" si="6"/>
        <v>0</v>
      </c>
      <c r="J169" t="s">
        <v>875</v>
      </c>
      <c r="K169" t="s">
        <v>854</v>
      </c>
      <c r="L169" s="9">
        <v>46049</v>
      </c>
      <c r="M169" s="9">
        <v>46080</v>
      </c>
      <c r="N169" s="18">
        <f t="shared" ca="1" si="7"/>
        <v>31</v>
      </c>
      <c r="O169" s="9">
        <v>46080</v>
      </c>
      <c r="P169" s="9" t="str">
        <f t="shared" si="8"/>
        <v>✅ Ja</v>
      </c>
      <c r="Q169" t="s">
        <v>842</v>
      </c>
      <c r="S169" t="s">
        <v>838</v>
      </c>
      <c r="T169" t="s">
        <v>540</v>
      </c>
      <c r="U169" t="s">
        <v>584</v>
      </c>
    </row>
    <row r="170" spans="2:21" x14ac:dyDescent="0.25">
      <c r="B170" t="s">
        <v>95</v>
      </c>
      <c r="C170" t="s">
        <v>462</v>
      </c>
      <c r="D170" t="str">
        <f>IF(_xlfn.XLOOKUP(C170, ABZ!A:A, ABZ!B:B, "", 0) = 0, "", _xlfn.XLOOKUP(C170, ABZ!A:A, ABZ!B:B, "", 0))</f>
        <v>SUP-TCO-KnowledgeManagement</v>
      </c>
      <c r="E170" t="s">
        <v>834</v>
      </c>
      <c r="F170" t="s">
        <v>533</v>
      </c>
      <c r="I170">
        <f t="shared" si="6"/>
        <v>0</v>
      </c>
      <c r="J170" t="s">
        <v>875</v>
      </c>
      <c r="K170" t="s">
        <v>854</v>
      </c>
      <c r="L170" s="9">
        <v>46049</v>
      </c>
      <c r="M170" s="9">
        <v>46080</v>
      </c>
      <c r="N170" s="18">
        <f t="shared" ca="1" si="7"/>
        <v>31</v>
      </c>
      <c r="O170" s="9">
        <v>46080</v>
      </c>
      <c r="P170" s="9" t="str">
        <f t="shared" si="8"/>
        <v>✅ Ja</v>
      </c>
      <c r="Q170" t="s">
        <v>842</v>
      </c>
      <c r="S170" t="s">
        <v>838</v>
      </c>
      <c r="T170" t="s">
        <v>540</v>
      </c>
      <c r="U170" t="s">
        <v>584</v>
      </c>
    </row>
    <row r="171" spans="2:21" x14ac:dyDescent="0.25">
      <c r="B171" t="s">
        <v>96</v>
      </c>
      <c r="C171" t="s">
        <v>460</v>
      </c>
      <c r="D171" t="str">
        <f>IF(_xlfn.XLOOKUP(C171, ABZ!A:A, ABZ!B:B, "", 0) = 0, "", _xlfn.XLOOKUP(C171, ABZ!A:A, ABZ!B:B, "", 0))</f>
        <v>ENT-PM-F-OS</v>
      </c>
      <c r="E171" t="s">
        <v>835</v>
      </c>
      <c r="F171" t="s">
        <v>532</v>
      </c>
      <c r="H171">
        <v>1</v>
      </c>
      <c r="I171">
        <f t="shared" si="6"/>
        <v>1</v>
      </c>
      <c r="J171" t="s">
        <v>875</v>
      </c>
      <c r="K171" t="s">
        <v>855</v>
      </c>
      <c r="L171" s="9">
        <v>46049</v>
      </c>
      <c r="M171" s="9">
        <v>46049</v>
      </c>
      <c r="N171" s="18">
        <f t="shared" ca="1" si="7"/>
        <v>0</v>
      </c>
      <c r="O171" s="9">
        <v>46049</v>
      </c>
      <c r="P171" s="9" t="str">
        <f t="shared" si="8"/>
        <v>✅ Ja</v>
      </c>
      <c r="Q171" t="s">
        <v>838</v>
      </c>
      <c r="S171" t="s">
        <v>838</v>
      </c>
      <c r="T171" t="s">
        <v>540</v>
      </c>
      <c r="U171" t="s">
        <v>542</v>
      </c>
    </row>
    <row r="172" spans="2:21" x14ac:dyDescent="0.25">
      <c r="B172" t="s">
        <v>97</v>
      </c>
      <c r="C172" t="s">
        <v>460</v>
      </c>
      <c r="D172" t="str">
        <f>IF(_xlfn.XLOOKUP(C172, ABZ!A:A, ABZ!B:B, "", 0) = 0, "", _xlfn.XLOOKUP(C172, ABZ!A:A, ABZ!B:B, "", 0))</f>
        <v>ENT-PM-F-OS</v>
      </c>
      <c r="E172" t="s">
        <v>834</v>
      </c>
      <c r="F172" t="s">
        <v>529</v>
      </c>
      <c r="I172">
        <f t="shared" si="6"/>
        <v>1</v>
      </c>
      <c r="J172" t="s">
        <v>875</v>
      </c>
      <c r="K172" t="s">
        <v>855</v>
      </c>
      <c r="L172" s="9">
        <v>46049</v>
      </c>
      <c r="M172" s="9">
        <v>46049</v>
      </c>
      <c r="N172" s="18">
        <f t="shared" ca="1" si="7"/>
        <v>0</v>
      </c>
      <c r="O172" s="9">
        <v>46049</v>
      </c>
      <c r="P172" s="9" t="str">
        <f t="shared" si="8"/>
        <v>✅ Ja</v>
      </c>
      <c r="Q172" t="s">
        <v>846</v>
      </c>
      <c r="S172" t="s">
        <v>838</v>
      </c>
      <c r="T172" t="s">
        <v>540</v>
      </c>
      <c r="U172" t="s">
        <v>542</v>
      </c>
    </row>
    <row r="173" spans="2:21" x14ac:dyDescent="0.25">
      <c r="B173" t="s">
        <v>98</v>
      </c>
      <c r="C173" t="s">
        <v>472</v>
      </c>
      <c r="D173" t="str">
        <f>IF(_xlfn.XLOOKUP(C173, ABZ!A:A, ABZ!B:B, "", 0) = 0, "", _xlfn.XLOOKUP(C173, ABZ!A:A, ABZ!B:B, "", 0))</f>
        <v>D2C-MarketingContent</v>
      </c>
      <c r="E173" t="s">
        <v>834</v>
      </c>
      <c r="F173" t="s">
        <v>535</v>
      </c>
      <c r="I173">
        <f t="shared" si="6"/>
        <v>0</v>
      </c>
      <c r="L173" s="9">
        <v>46049</v>
      </c>
      <c r="M173" s="9">
        <v>46056</v>
      </c>
      <c r="N173" s="18">
        <f t="shared" ca="1" si="7"/>
        <v>7</v>
      </c>
      <c r="O173" s="9">
        <v>46056</v>
      </c>
      <c r="P173" s="9" t="str">
        <f t="shared" si="8"/>
        <v>✅ Ja</v>
      </c>
      <c r="Q173" t="s">
        <v>842</v>
      </c>
      <c r="S173" t="s">
        <v>841</v>
      </c>
      <c r="T173" t="s">
        <v>540</v>
      </c>
      <c r="U173" t="s">
        <v>585</v>
      </c>
    </row>
    <row r="174" spans="2:21" x14ac:dyDescent="0.25">
      <c r="B174" t="s">
        <v>99</v>
      </c>
      <c r="C174" t="s">
        <v>469</v>
      </c>
      <c r="D174" t="str">
        <f>IF(_xlfn.XLOOKUP(C174, ABZ!A:A, ABZ!B:B, "", 0) = 0, "", _xlfn.XLOOKUP(C174, ABZ!A:A, ABZ!B:B, "", 0))</f>
        <v>VTR-CS-CM-Retail</v>
      </c>
      <c r="E174" t="s">
        <v>835</v>
      </c>
      <c r="F174" t="s">
        <v>532</v>
      </c>
      <c r="G174">
        <v>726</v>
      </c>
      <c r="H174">
        <v>1</v>
      </c>
      <c r="I174">
        <f t="shared" si="6"/>
        <v>1</v>
      </c>
      <c r="L174" s="9">
        <v>46050</v>
      </c>
      <c r="M174" s="9">
        <v>46056</v>
      </c>
      <c r="N174" s="18">
        <f t="shared" ca="1" si="7"/>
        <v>6</v>
      </c>
      <c r="O174" s="9">
        <v>46050</v>
      </c>
      <c r="P174" s="9" t="str">
        <f t="shared" si="8"/>
        <v>❌ Nein</v>
      </c>
      <c r="Q174" t="s">
        <v>838</v>
      </c>
      <c r="S174" t="s">
        <v>839</v>
      </c>
      <c r="T174" t="s">
        <v>540</v>
      </c>
      <c r="U174" t="s">
        <v>546</v>
      </c>
    </row>
    <row r="175" spans="2:21" x14ac:dyDescent="0.25">
      <c r="B175" t="s">
        <v>99</v>
      </c>
      <c r="C175" t="s">
        <v>469</v>
      </c>
      <c r="D175" t="str">
        <f>IF(_xlfn.XLOOKUP(C175, ABZ!A:A, ABZ!B:B, "", 0) = 0, "", _xlfn.XLOOKUP(C175, ABZ!A:A, ABZ!B:B, "", 0))</f>
        <v>VTR-CS-CM-Retail</v>
      </c>
      <c r="E175" t="s">
        <v>834</v>
      </c>
      <c r="F175" t="s">
        <v>529</v>
      </c>
      <c r="G175">
        <v>726</v>
      </c>
      <c r="I175">
        <f t="shared" si="6"/>
        <v>0</v>
      </c>
      <c r="L175" s="9">
        <v>46050</v>
      </c>
      <c r="M175" s="9">
        <v>46056</v>
      </c>
      <c r="N175" s="18">
        <f t="shared" ca="1" si="7"/>
        <v>6</v>
      </c>
      <c r="O175" s="9">
        <v>46056</v>
      </c>
      <c r="P175" s="9" t="str">
        <f t="shared" si="8"/>
        <v>✅ Ja</v>
      </c>
      <c r="Q175" t="s">
        <v>845</v>
      </c>
      <c r="S175" t="s">
        <v>839</v>
      </c>
      <c r="T175" t="s">
        <v>540</v>
      </c>
      <c r="U175" t="s">
        <v>546</v>
      </c>
    </row>
    <row r="176" spans="2:21" x14ac:dyDescent="0.25">
      <c r="B176" t="s">
        <v>99</v>
      </c>
      <c r="C176" t="s">
        <v>469</v>
      </c>
      <c r="D176" t="str">
        <f>IF(_xlfn.XLOOKUP(C176, ABZ!A:A, ABZ!B:B, "", 0) = 0, "", _xlfn.XLOOKUP(C176, ABZ!A:A, ABZ!B:B, "", 0))</f>
        <v>VTR-CS-CM-Retail</v>
      </c>
      <c r="E176" t="s">
        <v>834</v>
      </c>
      <c r="F176" t="s">
        <v>527</v>
      </c>
      <c r="G176">
        <v>726</v>
      </c>
      <c r="I176">
        <f t="shared" si="6"/>
        <v>0</v>
      </c>
      <c r="L176" s="9">
        <v>46050</v>
      </c>
      <c r="M176" s="9">
        <v>46056</v>
      </c>
      <c r="N176" s="18">
        <f t="shared" ca="1" si="7"/>
        <v>6</v>
      </c>
      <c r="O176" s="9">
        <v>46056</v>
      </c>
      <c r="P176" s="9" t="str">
        <f t="shared" si="8"/>
        <v>✅ Ja</v>
      </c>
      <c r="Q176" t="s">
        <v>849</v>
      </c>
      <c r="R176" t="s">
        <v>841</v>
      </c>
      <c r="S176" t="s">
        <v>839</v>
      </c>
      <c r="T176" t="s">
        <v>540</v>
      </c>
      <c r="U176" t="s">
        <v>553</v>
      </c>
    </row>
    <row r="177" spans="2:21" x14ac:dyDescent="0.25">
      <c r="B177" t="s">
        <v>99</v>
      </c>
      <c r="C177" t="s">
        <v>469</v>
      </c>
      <c r="D177" t="str">
        <f>IF(_xlfn.XLOOKUP(C177, ABZ!A:A, ABZ!B:B, "", 0) = 0, "", _xlfn.XLOOKUP(C177, ABZ!A:A, ABZ!B:B, "", 0))</f>
        <v>VTR-CS-CM-Retail</v>
      </c>
      <c r="E177" t="s">
        <v>834</v>
      </c>
      <c r="F177" t="s">
        <v>527</v>
      </c>
      <c r="G177">
        <v>726</v>
      </c>
      <c r="I177">
        <f t="shared" si="6"/>
        <v>0</v>
      </c>
      <c r="L177" s="9">
        <v>46050</v>
      </c>
      <c r="M177" s="9">
        <v>46056</v>
      </c>
      <c r="N177" s="18">
        <f t="shared" ca="1" si="7"/>
        <v>6</v>
      </c>
      <c r="O177" s="9">
        <v>46056</v>
      </c>
      <c r="P177" s="9" t="str">
        <f t="shared" si="8"/>
        <v>✅ Ja</v>
      </c>
      <c r="Q177" t="s">
        <v>836</v>
      </c>
      <c r="S177" t="s">
        <v>839</v>
      </c>
      <c r="T177" t="s">
        <v>540</v>
      </c>
      <c r="U177" t="s">
        <v>546</v>
      </c>
    </row>
    <row r="178" spans="2:21" x14ac:dyDescent="0.25">
      <c r="B178" t="s">
        <v>99</v>
      </c>
      <c r="C178" t="s">
        <v>469</v>
      </c>
      <c r="D178" t="str">
        <f>IF(_xlfn.XLOOKUP(C178, ABZ!A:A, ABZ!B:B, "", 0) = 0, "", _xlfn.XLOOKUP(C178, ABZ!A:A, ABZ!B:B, "", 0))</f>
        <v>VTR-CS-CM-Retail</v>
      </c>
      <c r="E178" t="s">
        <v>834</v>
      </c>
      <c r="F178" t="s">
        <v>530</v>
      </c>
      <c r="G178">
        <v>726</v>
      </c>
      <c r="I178">
        <f t="shared" si="6"/>
        <v>0</v>
      </c>
      <c r="L178" s="9">
        <v>46050</v>
      </c>
      <c r="M178" s="9">
        <v>46056</v>
      </c>
      <c r="N178" s="18">
        <f t="shared" ca="1" si="7"/>
        <v>6</v>
      </c>
      <c r="O178" s="9">
        <v>46056</v>
      </c>
      <c r="P178" s="9" t="str">
        <f t="shared" si="8"/>
        <v>✅ Ja</v>
      </c>
      <c r="Q178" t="s">
        <v>844</v>
      </c>
      <c r="R178" t="s">
        <v>839</v>
      </c>
      <c r="S178" t="s">
        <v>839</v>
      </c>
      <c r="T178" t="s">
        <v>540</v>
      </c>
      <c r="U178" t="s">
        <v>546</v>
      </c>
    </row>
    <row r="179" spans="2:21" x14ac:dyDescent="0.25">
      <c r="B179" t="s">
        <v>100</v>
      </c>
      <c r="C179" t="s">
        <v>486</v>
      </c>
      <c r="D179" t="str">
        <f>IF(_xlfn.XLOOKUP(C179, ABZ!A:A, ABZ!B:B, "", 0) = 0, "", _xlfn.XLOOKUP(C179, ABZ!A:A, ABZ!B:B, "", 0))</f>
        <v>SUP-KS-2ndLevel</v>
      </c>
      <c r="E179" t="s">
        <v>834</v>
      </c>
      <c r="F179" t="s">
        <v>534</v>
      </c>
      <c r="I179">
        <f t="shared" si="6"/>
        <v>0</v>
      </c>
      <c r="L179" s="9">
        <v>46050</v>
      </c>
      <c r="M179" s="9">
        <v>46055</v>
      </c>
      <c r="N179" s="18">
        <f t="shared" ca="1" si="7"/>
        <v>5</v>
      </c>
      <c r="O179" s="9">
        <v>46055</v>
      </c>
      <c r="P179" s="9" t="str">
        <f t="shared" si="8"/>
        <v>✅ Ja</v>
      </c>
      <c r="Q179" t="s">
        <v>842</v>
      </c>
      <c r="S179" t="s">
        <v>838</v>
      </c>
      <c r="T179" t="s">
        <v>540</v>
      </c>
      <c r="U179" t="s">
        <v>554</v>
      </c>
    </row>
    <row r="180" spans="2:21" x14ac:dyDescent="0.25">
      <c r="B180" t="s">
        <v>100</v>
      </c>
      <c r="C180" t="s">
        <v>486</v>
      </c>
      <c r="D180" t="str">
        <f>IF(_xlfn.XLOOKUP(C180, ABZ!A:A, ABZ!B:B, "", 0) = 0, "", _xlfn.XLOOKUP(C180, ABZ!A:A, ABZ!B:B, "", 0))</f>
        <v>SUP-KS-2ndLevel</v>
      </c>
      <c r="E180" t="s">
        <v>834</v>
      </c>
      <c r="F180" t="s">
        <v>537</v>
      </c>
      <c r="I180">
        <f t="shared" si="6"/>
        <v>0</v>
      </c>
      <c r="L180" s="9">
        <v>46050</v>
      </c>
      <c r="M180" s="9">
        <v>46055</v>
      </c>
      <c r="N180" s="18">
        <f t="shared" ca="1" si="7"/>
        <v>5</v>
      </c>
      <c r="O180" s="9">
        <v>46055</v>
      </c>
      <c r="P180" s="9" t="str">
        <f t="shared" si="8"/>
        <v>✅ Ja</v>
      </c>
      <c r="Q180" t="s">
        <v>842</v>
      </c>
      <c r="S180" t="s">
        <v>838</v>
      </c>
      <c r="T180" t="s">
        <v>540</v>
      </c>
      <c r="U180" t="s">
        <v>554</v>
      </c>
    </row>
    <row r="181" spans="2:21" x14ac:dyDescent="0.25">
      <c r="B181" t="s">
        <v>100</v>
      </c>
      <c r="C181" t="s">
        <v>486</v>
      </c>
      <c r="D181" t="str">
        <f>IF(_xlfn.XLOOKUP(C181, ABZ!A:A, ABZ!B:B, "", 0) = 0, "", _xlfn.XLOOKUP(C181, ABZ!A:A, ABZ!B:B, "", 0))</f>
        <v>SUP-KS-2ndLevel</v>
      </c>
      <c r="E181" t="s">
        <v>834</v>
      </c>
      <c r="F181" t="s">
        <v>536</v>
      </c>
      <c r="I181">
        <f t="shared" si="6"/>
        <v>0</v>
      </c>
      <c r="L181" s="9">
        <v>46050</v>
      </c>
      <c r="M181" s="9">
        <v>46055</v>
      </c>
      <c r="N181" s="18">
        <f t="shared" ca="1" si="7"/>
        <v>5</v>
      </c>
      <c r="O181" s="9">
        <v>46055</v>
      </c>
      <c r="P181" s="9" t="str">
        <f t="shared" si="8"/>
        <v>✅ Ja</v>
      </c>
      <c r="Q181" t="s">
        <v>842</v>
      </c>
      <c r="S181" t="s">
        <v>838</v>
      </c>
      <c r="T181" t="s">
        <v>540</v>
      </c>
      <c r="U181" t="s">
        <v>554</v>
      </c>
    </row>
    <row r="182" spans="2:21" x14ac:dyDescent="0.25">
      <c r="B182" t="s">
        <v>100</v>
      </c>
      <c r="C182" t="s">
        <v>486</v>
      </c>
      <c r="D182" t="str">
        <f>IF(_xlfn.XLOOKUP(C182, ABZ!A:A, ABZ!B:B, "", 0) = 0, "", _xlfn.XLOOKUP(C182, ABZ!A:A, ABZ!B:B, "", 0))</f>
        <v>SUP-KS-2ndLevel</v>
      </c>
      <c r="E182" t="s">
        <v>834</v>
      </c>
      <c r="F182" t="s">
        <v>533</v>
      </c>
      <c r="I182">
        <f t="shared" si="6"/>
        <v>0</v>
      </c>
      <c r="L182" s="9">
        <v>46050</v>
      </c>
      <c r="M182" s="9">
        <v>46055</v>
      </c>
      <c r="N182" s="18">
        <f t="shared" ca="1" si="7"/>
        <v>5</v>
      </c>
      <c r="O182" s="9">
        <v>46055</v>
      </c>
      <c r="P182" s="9" t="str">
        <f t="shared" si="8"/>
        <v>✅ Ja</v>
      </c>
      <c r="Q182" t="s">
        <v>842</v>
      </c>
      <c r="S182" t="s">
        <v>838</v>
      </c>
      <c r="T182" t="s">
        <v>540</v>
      </c>
      <c r="U182" t="s">
        <v>554</v>
      </c>
    </row>
    <row r="183" spans="2:21" x14ac:dyDescent="0.25">
      <c r="B183" t="s">
        <v>100</v>
      </c>
      <c r="C183" t="s">
        <v>486</v>
      </c>
      <c r="D183" t="str">
        <f>IF(_xlfn.XLOOKUP(C183, ABZ!A:A, ABZ!B:B, "", 0) = 0, "", _xlfn.XLOOKUP(C183, ABZ!A:A, ABZ!B:B, "", 0))</f>
        <v>SUP-KS-2ndLevel</v>
      </c>
      <c r="E183" t="s">
        <v>834</v>
      </c>
      <c r="F183" t="s">
        <v>535</v>
      </c>
      <c r="I183">
        <f t="shared" si="6"/>
        <v>0</v>
      </c>
      <c r="L183" s="9">
        <v>46050</v>
      </c>
      <c r="M183" s="9">
        <v>46055</v>
      </c>
      <c r="N183" s="18">
        <f t="shared" ca="1" si="7"/>
        <v>5</v>
      </c>
      <c r="O183" s="9">
        <v>46055</v>
      </c>
      <c r="P183" s="9" t="str">
        <f t="shared" si="8"/>
        <v>✅ Ja</v>
      </c>
      <c r="Q183" t="s">
        <v>842</v>
      </c>
      <c r="S183" t="s">
        <v>838</v>
      </c>
      <c r="T183" t="s">
        <v>540</v>
      </c>
      <c r="U183" t="s">
        <v>554</v>
      </c>
    </row>
    <row r="184" spans="2:21" x14ac:dyDescent="0.25">
      <c r="B184" t="s">
        <v>101</v>
      </c>
      <c r="C184" t="s">
        <v>487</v>
      </c>
      <c r="D184" t="str">
        <f>IF(_xlfn.XLOOKUP(C184, ABZ!A:A, ABZ!B:B, "", 0) = 0, "", _xlfn.XLOOKUP(C184, ABZ!A:A, ABZ!B:B, "", 0))</f>
        <v>ENT-UIC-JS3</v>
      </c>
      <c r="E184" t="s">
        <v>834</v>
      </c>
      <c r="F184" t="s">
        <v>529</v>
      </c>
      <c r="I184">
        <f t="shared" si="6"/>
        <v>1</v>
      </c>
      <c r="L184" s="9">
        <v>46050</v>
      </c>
      <c r="M184" s="9">
        <v>46050</v>
      </c>
      <c r="N184" s="18">
        <f t="shared" ca="1" si="7"/>
        <v>0</v>
      </c>
      <c r="O184" s="9">
        <v>46052</v>
      </c>
      <c r="P184" s="9" t="str">
        <f t="shared" si="8"/>
        <v>✅ Ja</v>
      </c>
      <c r="Q184" t="s">
        <v>837</v>
      </c>
      <c r="S184" t="s">
        <v>841</v>
      </c>
      <c r="T184" t="s">
        <v>540</v>
      </c>
      <c r="U184" t="s">
        <v>586</v>
      </c>
    </row>
    <row r="185" spans="2:21" x14ac:dyDescent="0.25">
      <c r="B185" t="s">
        <v>101</v>
      </c>
      <c r="C185" t="s">
        <v>487</v>
      </c>
      <c r="D185" t="str">
        <f>IF(_xlfn.XLOOKUP(C185, ABZ!A:A, ABZ!B:B, "", 0) = 0, "", _xlfn.XLOOKUP(C185, ABZ!A:A, ABZ!B:B, "", 0))</f>
        <v>ENT-UIC-JS3</v>
      </c>
      <c r="E185" t="s">
        <v>834</v>
      </c>
      <c r="F185" t="s">
        <v>527</v>
      </c>
      <c r="I185">
        <f t="shared" si="6"/>
        <v>1</v>
      </c>
      <c r="L185" s="9">
        <v>46050</v>
      </c>
      <c r="M185" s="9">
        <v>46050</v>
      </c>
      <c r="N185" s="18">
        <f t="shared" ca="1" si="7"/>
        <v>0</v>
      </c>
      <c r="O185" s="9">
        <v>46052</v>
      </c>
      <c r="P185" s="9" t="str">
        <f t="shared" si="8"/>
        <v>✅ Ja</v>
      </c>
      <c r="Q185" t="s">
        <v>839</v>
      </c>
      <c r="S185" t="s">
        <v>841</v>
      </c>
      <c r="T185" t="s">
        <v>540</v>
      </c>
      <c r="U185" t="s">
        <v>586</v>
      </c>
    </row>
    <row r="186" spans="2:21" x14ac:dyDescent="0.25">
      <c r="B186" t="s">
        <v>101</v>
      </c>
      <c r="C186" t="s">
        <v>487</v>
      </c>
      <c r="D186" t="str">
        <f>IF(_xlfn.XLOOKUP(C186, ABZ!A:A, ABZ!B:B, "", 0) = 0, "", _xlfn.XLOOKUP(C186, ABZ!A:A, ABZ!B:B, "", 0))</f>
        <v>ENT-UIC-JS3</v>
      </c>
      <c r="E186" t="s">
        <v>834</v>
      </c>
      <c r="F186" t="s">
        <v>527</v>
      </c>
      <c r="I186">
        <f t="shared" si="6"/>
        <v>1</v>
      </c>
      <c r="L186" s="9">
        <v>46050</v>
      </c>
      <c r="M186" s="9">
        <v>46050</v>
      </c>
      <c r="N186" s="18">
        <f t="shared" ca="1" si="7"/>
        <v>0</v>
      </c>
      <c r="O186" s="9">
        <v>46052</v>
      </c>
      <c r="P186" s="9" t="str">
        <f t="shared" si="8"/>
        <v>✅ Ja</v>
      </c>
      <c r="Q186" t="s">
        <v>843</v>
      </c>
      <c r="S186" t="s">
        <v>841</v>
      </c>
      <c r="T186" t="s">
        <v>540</v>
      </c>
      <c r="U186" t="s">
        <v>586</v>
      </c>
    </row>
    <row r="187" spans="2:21" x14ac:dyDescent="0.25">
      <c r="B187" t="s">
        <v>101</v>
      </c>
      <c r="C187" t="s">
        <v>487</v>
      </c>
      <c r="D187" t="str">
        <f>IF(_xlfn.XLOOKUP(C187, ABZ!A:A, ABZ!B:B, "", 0) = 0, "", _xlfn.XLOOKUP(C187, ABZ!A:A, ABZ!B:B, "", 0))</f>
        <v>ENT-UIC-JS3</v>
      </c>
      <c r="E187" t="s">
        <v>834</v>
      </c>
      <c r="F187" t="s">
        <v>528</v>
      </c>
      <c r="I187">
        <f t="shared" si="6"/>
        <v>1</v>
      </c>
      <c r="L187" s="9">
        <v>46050</v>
      </c>
      <c r="M187" s="9">
        <v>46050</v>
      </c>
      <c r="N187" s="18">
        <f t="shared" ca="1" si="7"/>
        <v>0</v>
      </c>
      <c r="O187" s="9">
        <v>46052</v>
      </c>
      <c r="P187" s="9" t="str">
        <f t="shared" si="8"/>
        <v>✅ Ja</v>
      </c>
      <c r="Q187" t="s">
        <v>841</v>
      </c>
      <c r="S187" t="s">
        <v>841</v>
      </c>
      <c r="T187" t="s">
        <v>540</v>
      </c>
      <c r="U187" t="s">
        <v>586</v>
      </c>
    </row>
    <row r="188" spans="2:21" x14ac:dyDescent="0.25">
      <c r="B188" t="s">
        <v>101</v>
      </c>
      <c r="C188" t="s">
        <v>487</v>
      </c>
      <c r="D188" t="str">
        <f>IF(_xlfn.XLOOKUP(C188, ABZ!A:A, ABZ!B:B, "", 0) = 0, "", _xlfn.XLOOKUP(C188, ABZ!A:A, ABZ!B:B, "", 0))</f>
        <v>ENT-UIC-JS3</v>
      </c>
      <c r="E188" t="s">
        <v>834</v>
      </c>
      <c r="F188" t="s">
        <v>527</v>
      </c>
      <c r="I188">
        <f t="shared" si="6"/>
        <v>1</v>
      </c>
      <c r="L188" s="9">
        <v>46050</v>
      </c>
      <c r="M188" s="9">
        <v>46051</v>
      </c>
      <c r="N188" s="18">
        <f t="shared" ca="1" si="7"/>
        <v>1</v>
      </c>
      <c r="O188" s="9">
        <v>46052</v>
      </c>
      <c r="P188" s="9" t="str">
        <f t="shared" si="8"/>
        <v>✅ Ja</v>
      </c>
      <c r="Q188" t="s">
        <v>836</v>
      </c>
      <c r="S188" t="s">
        <v>841</v>
      </c>
      <c r="T188" t="s">
        <v>540</v>
      </c>
      <c r="U188" t="s">
        <v>586</v>
      </c>
    </row>
    <row r="189" spans="2:21" x14ac:dyDescent="0.25">
      <c r="B189" t="s">
        <v>101</v>
      </c>
      <c r="C189" t="s">
        <v>487</v>
      </c>
      <c r="D189" t="str">
        <f>IF(_xlfn.XLOOKUP(C189, ABZ!A:A, ABZ!B:B, "", 0) = 0, "", _xlfn.XLOOKUP(C189, ABZ!A:A, ABZ!B:B, "", 0))</f>
        <v>ENT-UIC-JS3</v>
      </c>
      <c r="E189" t="s">
        <v>834</v>
      </c>
      <c r="F189" t="s">
        <v>535</v>
      </c>
      <c r="I189">
        <f t="shared" si="6"/>
        <v>1</v>
      </c>
      <c r="L189" s="9">
        <v>46050</v>
      </c>
      <c r="M189" s="9">
        <v>46052</v>
      </c>
      <c r="N189" s="18">
        <f t="shared" ca="1" si="7"/>
        <v>2</v>
      </c>
      <c r="O189" s="9">
        <v>46052</v>
      </c>
      <c r="P189" s="9" t="str">
        <f t="shared" si="8"/>
        <v>✅ Ja</v>
      </c>
      <c r="Q189" t="s">
        <v>842</v>
      </c>
      <c r="S189" t="s">
        <v>838</v>
      </c>
      <c r="T189" t="s">
        <v>540</v>
      </c>
      <c r="U189" t="s">
        <v>586</v>
      </c>
    </row>
    <row r="190" spans="2:21" x14ac:dyDescent="0.25">
      <c r="B190" t="s">
        <v>101</v>
      </c>
      <c r="C190" t="s">
        <v>487</v>
      </c>
      <c r="D190" t="str">
        <f>IF(_xlfn.XLOOKUP(C190, ABZ!A:A, ABZ!B:B, "", 0) = 0, "", _xlfn.XLOOKUP(C190, ABZ!A:A, ABZ!B:B, "", 0))</f>
        <v>ENT-UIC-JS3</v>
      </c>
      <c r="E190" t="s">
        <v>834</v>
      </c>
      <c r="F190" t="s">
        <v>538</v>
      </c>
      <c r="I190">
        <f t="shared" si="6"/>
        <v>1</v>
      </c>
      <c r="L190" s="9">
        <v>46050</v>
      </c>
      <c r="M190" s="9">
        <v>46052</v>
      </c>
      <c r="N190" s="18">
        <f t="shared" ca="1" si="7"/>
        <v>2</v>
      </c>
      <c r="O190" s="9">
        <v>46052</v>
      </c>
      <c r="P190" s="9" t="str">
        <f t="shared" si="8"/>
        <v>✅ Ja</v>
      </c>
      <c r="Q190" t="s">
        <v>842</v>
      </c>
      <c r="S190" t="s">
        <v>838</v>
      </c>
      <c r="T190" t="s">
        <v>540</v>
      </c>
      <c r="U190" t="s">
        <v>586</v>
      </c>
    </row>
    <row r="191" spans="2:21" x14ac:dyDescent="0.25">
      <c r="B191" t="s">
        <v>102</v>
      </c>
      <c r="C191" t="s">
        <v>488</v>
      </c>
      <c r="D191" t="str">
        <f>IF(_xlfn.XLOOKUP(C191, ABZ!A:A, ABZ!B:B, "", 0) = 0, "", _xlfn.XLOOKUP(C191, ABZ!A:A, ABZ!B:B, "", 0))</f>
        <v>D2C-MarketingContent</v>
      </c>
      <c r="E191" t="s">
        <v>834</v>
      </c>
      <c r="F191" t="s">
        <v>529</v>
      </c>
      <c r="I191">
        <f t="shared" si="6"/>
        <v>0</v>
      </c>
      <c r="L191" s="9">
        <v>46050</v>
      </c>
      <c r="M191" s="9">
        <v>46056</v>
      </c>
      <c r="N191" s="18">
        <f t="shared" ca="1" si="7"/>
        <v>6</v>
      </c>
      <c r="O191" s="9">
        <v>46057</v>
      </c>
      <c r="P191" s="9" t="str">
        <f t="shared" si="8"/>
        <v>✅ Ja</v>
      </c>
      <c r="Q191" t="s">
        <v>845</v>
      </c>
      <c r="S191" t="s">
        <v>840</v>
      </c>
      <c r="T191" t="s">
        <v>540</v>
      </c>
      <c r="U191" t="s">
        <v>587</v>
      </c>
    </row>
    <row r="192" spans="2:21" x14ac:dyDescent="0.25">
      <c r="B192" t="s">
        <v>102</v>
      </c>
      <c r="C192" t="s">
        <v>488</v>
      </c>
      <c r="D192" t="str">
        <f>IF(_xlfn.XLOOKUP(C192, ABZ!A:A, ABZ!B:B, "", 0) = 0, "", _xlfn.XLOOKUP(C192, ABZ!A:A, ABZ!B:B, "", 0))</f>
        <v>D2C-MarketingContent</v>
      </c>
      <c r="E192" t="s">
        <v>834</v>
      </c>
      <c r="F192" t="s">
        <v>527</v>
      </c>
      <c r="I192">
        <f t="shared" si="6"/>
        <v>0</v>
      </c>
      <c r="L192" s="9">
        <v>46050</v>
      </c>
      <c r="M192" s="9">
        <v>46056</v>
      </c>
      <c r="N192" s="18">
        <f t="shared" ca="1" si="7"/>
        <v>6</v>
      </c>
      <c r="O192" s="9">
        <v>46057</v>
      </c>
      <c r="P192" s="9" t="str">
        <f t="shared" si="8"/>
        <v>✅ Ja</v>
      </c>
      <c r="Q192" t="s">
        <v>849</v>
      </c>
      <c r="R192" t="s">
        <v>841</v>
      </c>
      <c r="S192" t="s">
        <v>840</v>
      </c>
      <c r="T192" t="s">
        <v>540</v>
      </c>
      <c r="U192" t="s">
        <v>588</v>
      </c>
    </row>
    <row r="193" spans="2:21" x14ac:dyDescent="0.25">
      <c r="B193" t="s">
        <v>103</v>
      </c>
      <c r="C193" t="s">
        <v>466</v>
      </c>
      <c r="D193" t="str">
        <f>IF(_xlfn.XLOOKUP(C193, ABZ!A:A, ABZ!B:B, "", 0) = 0, "", _xlfn.XLOOKUP(C193, ABZ!A:A, ABZ!B:B, "", 0))</f>
        <v>VTR-CS-SER-PartnerCommunication</v>
      </c>
      <c r="E193" t="s">
        <v>834</v>
      </c>
      <c r="F193" t="s">
        <v>527</v>
      </c>
      <c r="I193">
        <f t="shared" si="6"/>
        <v>0</v>
      </c>
      <c r="L193" s="9">
        <v>46050</v>
      </c>
      <c r="M193" s="9">
        <v>46055</v>
      </c>
      <c r="N193" s="18">
        <f t="shared" ca="1" si="7"/>
        <v>5</v>
      </c>
      <c r="O193" s="9">
        <v>46057</v>
      </c>
      <c r="P193" s="9" t="str">
        <f t="shared" si="8"/>
        <v>✅ Ja</v>
      </c>
      <c r="Q193" t="s">
        <v>836</v>
      </c>
      <c r="S193" t="s">
        <v>840</v>
      </c>
      <c r="T193" t="s">
        <v>540</v>
      </c>
      <c r="U193" t="s">
        <v>546</v>
      </c>
    </row>
    <row r="194" spans="2:21" x14ac:dyDescent="0.25">
      <c r="B194" t="s">
        <v>104</v>
      </c>
      <c r="C194" t="s">
        <v>489</v>
      </c>
      <c r="D194" t="str">
        <f>IF(_xlfn.XLOOKUP(C194, ABZ!A:A, ABZ!B:B, "", 0) = 0, "", _xlfn.XLOOKUP(C194, ABZ!A:A, ABZ!B:B, "", 0))</f>
        <v>KOM-PR</v>
      </c>
      <c r="E194" t="s">
        <v>835</v>
      </c>
      <c r="F194" t="s">
        <v>532</v>
      </c>
      <c r="G194">
        <v>407</v>
      </c>
      <c r="H194">
        <v>2</v>
      </c>
      <c r="I194">
        <f t="shared" si="6"/>
        <v>1</v>
      </c>
      <c r="L194" s="9">
        <v>46051</v>
      </c>
      <c r="M194" s="9">
        <v>46052</v>
      </c>
      <c r="N194" s="18">
        <f t="shared" ca="1" si="7"/>
        <v>1</v>
      </c>
      <c r="O194" s="9">
        <v>46052</v>
      </c>
      <c r="P194" s="9" t="str">
        <f t="shared" si="8"/>
        <v>✅ Ja</v>
      </c>
      <c r="Q194" t="s">
        <v>838</v>
      </c>
      <c r="S194" t="s">
        <v>838</v>
      </c>
      <c r="T194" t="s">
        <v>540</v>
      </c>
      <c r="U194" t="s">
        <v>546</v>
      </c>
    </row>
    <row r="195" spans="2:21" x14ac:dyDescent="0.25">
      <c r="B195" t="s">
        <v>104</v>
      </c>
      <c r="C195" t="s">
        <v>489</v>
      </c>
      <c r="D195" t="str">
        <f>IF(_xlfn.XLOOKUP(C195, ABZ!A:A, ABZ!B:B, "", 0) = 0, "", _xlfn.XLOOKUP(C195, ABZ!A:A, ABZ!B:B, "", 0))</f>
        <v>KOM-PR</v>
      </c>
      <c r="E195" t="s">
        <v>834</v>
      </c>
      <c r="F195" t="s">
        <v>529</v>
      </c>
      <c r="G195">
        <v>407</v>
      </c>
      <c r="I195">
        <f t="shared" ref="I195:I258" si="9">IF(AND(O195&lt;&gt;"",L195&lt;&gt;""),IF((O195-L195)&lt;=2,1,0),0)</f>
        <v>0</v>
      </c>
      <c r="L195" s="9">
        <v>46051</v>
      </c>
      <c r="M195" s="9">
        <v>46055</v>
      </c>
      <c r="N195" s="18">
        <f t="shared" ref="N195:N258" ca="1" si="10">IF(M195&lt;&gt;"",M195-L195,TODAY()-L195)</f>
        <v>4</v>
      </c>
      <c r="O195" s="9">
        <v>46055</v>
      </c>
      <c r="P195" s="9" t="str">
        <f t="shared" ref="P195:P258" si="11">IF(M195="","⏳ Offen",IF(M195&lt;=O195,"✅ Ja","❌ Nein"))</f>
        <v>✅ Ja</v>
      </c>
      <c r="Q195" t="s">
        <v>846</v>
      </c>
      <c r="S195" t="s">
        <v>838</v>
      </c>
      <c r="T195" t="s">
        <v>540</v>
      </c>
      <c r="U195" t="s">
        <v>546</v>
      </c>
    </row>
    <row r="196" spans="2:21" x14ac:dyDescent="0.25">
      <c r="B196" t="s">
        <v>105</v>
      </c>
      <c r="C196" t="s">
        <v>490</v>
      </c>
      <c r="D196" t="str">
        <f>IF(_xlfn.XLOOKUP(C196, ABZ!A:A, ABZ!B:B, "", 0) = 0, "", _xlfn.XLOOKUP(C196, ABZ!A:A, ABZ!B:B, "", 0))</f>
        <v>ENT-UIC-Android</v>
      </c>
      <c r="E196" t="s">
        <v>834</v>
      </c>
      <c r="F196" t="s">
        <v>532</v>
      </c>
      <c r="I196">
        <f t="shared" si="9"/>
        <v>1</v>
      </c>
      <c r="J196" t="s">
        <v>873</v>
      </c>
      <c r="K196">
        <v>154674</v>
      </c>
      <c r="L196" s="9">
        <v>46051</v>
      </c>
      <c r="M196" s="9">
        <v>46051</v>
      </c>
      <c r="N196" s="18">
        <f t="shared" ca="1" si="10"/>
        <v>0</v>
      </c>
      <c r="O196" s="9">
        <v>46051</v>
      </c>
      <c r="P196" s="9" t="str">
        <f t="shared" si="11"/>
        <v>✅ Ja</v>
      </c>
      <c r="Q196" t="s">
        <v>851</v>
      </c>
      <c r="R196" t="s">
        <v>838</v>
      </c>
      <c r="S196" t="s">
        <v>838</v>
      </c>
      <c r="T196" t="s">
        <v>540</v>
      </c>
      <c r="U196" t="s">
        <v>545</v>
      </c>
    </row>
    <row r="197" spans="2:21" x14ac:dyDescent="0.25">
      <c r="B197" t="s">
        <v>105</v>
      </c>
      <c r="C197" t="s">
        <v>490</v>
      </c>
      <c r="D197" t="str">
        <f>IF(_xlfn.XLOOKUP(C197, ABZ!A:A, ABZ!B:B, "", 0) = 0, "", _xlfn.XLOOKUP(C197, ABZ!A:A, ABZ!B:B, "", 0))</f>
        <v>ENT-UIC-Android</v>
      </c>
      <c r="E197" t="s">
        <v>834</v>
      </c>
      <c r="F197" t="s">
        <v>529</v>
      </c>
      <c r="I197">
        <f t="shared" si="9"/>
        <v>0</v>
      </c>
      <c r="J197" t="s">
        <v>873</v>
      </c>
      <c r="K197">
        <v>154674</v>
      </c>
      <c r="L197" s="9">
        <v>46051</v>
      </c>
      <c r="M197" s="9">
        <v>46055</v>
      </c>
      <c r="N197" s="18">
        <f t="shared" ca="1" si="10"/>
        <v>4</v>
      </c>
      <c r="O197" s="9">
        <v>46056</v>
      </c>
      <c r="P197" s="9" t="str">
        <f t="shared" si="11"/>
        <v>✅ Ja</v>
      </c>
      <c r="Q197" t="s">
        <v>837</v>
      </c>
      <c r="S197" t="s">
        <v>838</v>
      </c>
      <c r="T197" t="s">
        <v>540</v>
      </c>
      <c r="U197" t="s">
        <v>545</v>
      </c>
    </row>
    <row r="198" spans="2:21" x14ac:dyDescent="0.25">
      <c r="B198" t="s">
        <v>105</v>
      </c>
      <c r="C198" t="s">
        <v>490</v>
      </c>
      <c r="D198" t="str">
        <f>IF(_xlfn.XLOOKUP(C198, ABZ!A:A, ABZ!B:B, "", 0) = 0, "", _xlfn.XLOOKUP(C198, ABZ!A:A, ABZ!B:B, "", 0))</f>
        <v>ENT-UIC-Android</v>
      </c>
      <c r="E198" t="s">
        <v>834</v>
      </c>
      <c r="F198" t="s">
        <v>527</v>
      </c>
      <c r="I198">
        <f t="shared" si="9"/>
        <v>0</v>
      </c>
      <c r="J198" t="s">
        <v>873</v>
      </c>
      <c r="K198">
        <v>154674</v>
      </c>
      <c r="L198" s="9">
        <v>46051</v>
      </c>
      <c r="M198" s="9">
        <v>46055</v>
      </c>
      <c r="N198" s="18">
        <f t="shared" ca="1" si="10"/>
        <v>4</v>
      </c>
      <c r="O198" s="9">
        <v>46056</v>
      </c>
      <c r="P198" s="9" t="str">
        <f t="shared" si="11"/>
        <v>✅ Ja</v>
      </c>
      <c r="Q198" t="s">
        <v>839</v>
      </c>
      <c r="S198" t="s">
        <v>838</v>
      </c>
      <c r="T198" t="s">
        <v>540</v>
      </c>
      <c r="U198" t="s">
        <v>545</v>
      </c>
    </row>
    <row r="199" spans="2:21" x14ac:dyDescent="0.25">
      <c r="B199" t="s">
        <v>105</v>
      </c>
      <c r="C199" t="s">
        <v>490</v>
      </c>
      <c r="D199" t="str">
        <f>IF(_xlfn.XLOOKUP(C199, ABZ!A:A, ABZ!B:B, "", 0) = 0, "", _xlfn.XLOOKUP(C199, ABZ!A:A, ABZ!B:B, "", 0))</f>
        <v>ENT-UIC-Android</v>
      </c>
      <c r="E199" t="s">
        <v>834</v>
      </c>
      <c r="F199" t="s">
        <v>527</v>
      </c>
      <c r="I199">
        <f t="shared" si="9"/>
        <v>0</v>
      </c>
      <c r="J199" t="s">
        <v>873</v>
      </c>
      <c r="K199">
        <v>154674</v>
      </c>
      <c r="L199" s="9">
        <v>46051</v>
      </c>
      <c r="M199" s="9">
        <v>46055</v>
      </c>
      <c r="N199" s="18">
        <f t="shared" ca="1" si="10"/>
        <v>4</v>
      </c>
      <c r="O199" s="9">
        <v>46056</v>
      </c>
      <c r="P199" s="9" t="str">
        <f t="shared" si="11"/>
        <v>✅ Ja</v>
      </c>
      <c r="Q199" t="s">
        <v>843</v>
      </c>
      <c r="S199" t="s">
        <v>838</v>
      </c>
      <c r="T199" t="s">
        <v>540</v>
      </c>
      <c r="U199" t="s">
        <v>545</v>
      </c>
    </row>
    <row r="200" spans="2:21" x14ac:dyDescent="0.25">
      <c r="B200" t="s">
        <v>105</v>
      </c>
      <c r="C200" t="s">
        <v>490</v>
      </c>
      <c r="D200" t="str">
        <f>IF(_xlfn.XLOOKUP(C200, ABZ!A:A, ABZ!B:B, "", 0) = 0, "", _xlfn.XLOOKUP(C200, ABZ!A:A, ABZ!B:B, "", 0))</f>
        <v>ENT-UIC-Android</v>
      </c>
      <c r="E200" t="s">
        <v>834</v>
      </c>
      <c r="F200" t="s">
        <v>527</v>
      </c>
      <c r="I200">
        <f t="shared" si="9"/>
        <v>0</v>
      </c>
      <c r="J200" t="s">
        <v>873</v>
      </c>
      <c r="K200">
        <v>154674</v>
      </c>
      <c r="L200" s="9">
        <v>46051</v>
      </c>
      <c r="M200" s="9">
        <v>46055</v>
      </c>
      <c r="N200" s="18">
        <f t="shared" ca="1" si="10"/>
        <v>4</v>
      </c>
      <c r="O200" s="9">
        <v>46056</v>
      </c>
      <c r="P200" s="9" t="str">
        <f t="shared" si="11"/>
        <v>✅ Ja</v>
      </c>
      <c r="Q200" t="s">
        <v>849</v>
      </c>
      <c r="R200" t="s">
        <v>841</v>
      </c>
      <c r="S200" t="s">
        <v>838</v>
      </c>
      <c r="T200" t="s">
        <v>540</v>
      </c>
      <c r="U200" t="s">
        <v>545</v>
      </c>
    </row>
    <row r="201" spans="2:21" x14ac:dyDescent="0.25">
      <c r="B201" t="s">
        <v>105</v>
      </c>
      <c r="C201" t="s">
        <v>490</v>
      </c>
      <c r="D201" t="str">
        <f>IF(_xlfn.XLOOKUP(C201, ABZ!A:A, ABZ!B:B, "", 0) = 0, "", _xlfn.XLOOKUP(C201, ABZ!A:A, ABZ!B:B, "", 0))</f>
        <v>ENT-UIC-Android</v>
      </c>
      <c r="E201" t="s">
        <v>834</v>
      </c>
      <c r="F201" t="s">
        <v>527</v>
      </c>
      <c r="I201">
        <f t="shared" si="9"/>
        <v>0</v>
      </c>
      <c r="J201" t="s">
        <v>873</v>
      </c>
      <c r="K201">
        <v>154674</v>
      </c>
      <c r="L201" s="9">
        <v>46051</v>
      </c>
      <c r="M201" s="9">
        <v>46055</v>
      </c>
      <c r="N201" s="18">
        <f t="shared" ca="1" si="10"/>
        <v>4</v>
      </c>
      <c r="O201" s="9">
        <v>46056</v>
      </c>
      <c r="P201" s="9" t="str">
        <f t="shared" si="11"/>
        <v>✅ Ja</v>
      </c>
      <c r="Q201" t="s">
        <v>836</v>
      </c>
      <c r="S201" t="s">
        <v>838</v>
      </c>
      <c r="T201" t="s">
        <v>540</v>
      </c>
      <c r="U201" t="s">
        <v>545</v>
      </c>
    </row>
    <row r="202" spans="2:21" x14ac:dyDescent="0.25">
      <c r="B202" t="s">
        <v>105</v>
      </c>
      <c r="C202" t="s">
        <v>490</v>
      </c>
      <c r="D202" t="str">
        <f>IF(_xlfn.XLOOKUP(C202, ABZ!A:A, ABZ!B:B, "", 0) = 0, "", _xlfn.XLOOKUP(C202, ABZ!A:A, ABZ!B:B, "", 0))</f>
        <v>ENT-UIC-Android</v>
      </c>
      <c r="E202" t="s">
        <v>834</v>
      </c>
      <c r="F202" t="s">
        <v>535</v>
      </c>
      <c r="I202">
        <f t="shared" si="9"/>
        <v>0</v>
      </c>
      <c r="J202" t="s">
        <v>873</v>
      </c>
      <c r="K202">
        <v>154674</v>
      </c>
      <c r="L202" s="9">
        <v>46051</v>
      </c>
      <c r="M202" s="9">
        <v>46055</v>
      </c>
      <c r="N202" s="18">
        <f t="shared" ca="1" si="10"/>
        <v>4</v>
      </c>
      <c r="O202" s="9">
        <v>46056</v>
      </c>
      <c r="P202" s="9" t="str">
        <f t="shared" si="11"/>
        <v>✅ Ja</v>
      </c>
      <c r="Q202" t="s">
        <v>842</v>
      </c>
      <c r="S202" t="s">
        <v>838</v>
      </c>
      <c r="T202" t="s">
        <v>540</v>
      </c>
      <c r="U202" t="s">
        <v>545</v>
      </c>
    </row>
    <row r="203" spans="2:21" x14ac:dyDescent="0.25">
      <c r="B203" t="s">
        <v>105</v>
      </c>
      <c r="C203" t="s">
        <v>490</v>
      </c>
      <c r="D203" t="str">
        <f>IF(_xlfn.XLOOKUP(C203, ABZ!A:A, ABZ!B:B, "", 0) = 0, "", _xlfn.XLOOKUP(C203, ABZ!A:A, ABZ!B:B, "", 0))</f>
        <v>ENT-UIC-Android</v>
      </c>
      <c r="E203" t="s">
        <v>834</v>
      </c>
      <c r="F203" t="s">
        <v>538</v>
      </c>
      <c r="I203">
        <f t="shared" si="9"/>
        <v>0</v>
      </c>
      <c r="J203" t="s">
        <v>873</v>
      </c>
      <c r="K203">
        <v>154674</v>
      </c>
      <c r="L203" s="9">
        <v>46051</v>
      </c>
      <c r="M203" s="9">
        <v>46055</v>
      </c>
      <c r="N203" s="18">
        <f t="shared" ca="1" si="10"/>
        <v>4</v>
      </c>
      <c r="O203" s="9">
        <v>46056</v>
      </c>
      <c r="P203" s="9" t="str">
        <f t="shared" si="11"/>
        <v>✅ Ja</v>
      </c>
      <c r="Q203" t="s">
        <v>842</v>
      </c>
      <c r="S203" t="s">
        <v>838</v>
      </c>
      <c r="T203" t="s">
        <v>540</v>
      </c>
      <c r="U203" t="s">
        <v>545</v>
      </c>
    </row>
    <row r="204" spans="2:21" x14ac:dyDescent="0.25">
      <c r="B204" t="s">
        <v>106</v>
      </c>
      <c r="C204" t="s">
        <v>469</v>
      </c>
      <c r="D204" t="str">
        <f>IF(_xlfn.XLOOKUP(C204, ABZ!A:A, ABZ!B:B, "", 0) = 0, "", _xlfn.XLOOKUP(C204, ABZ!A:A, ABZ!B:B, "", 0))</f>
        <v>VTR-CS-CM-Retail</v>
      </c>
      <c r="E204" t="s">
        <v>835</v>
      </c>
      <c r="F204" t="s">
        <v>532</v>
      </c>
      <c r="G204">
        <v>726</v>
      </c>
      <c r="H204">
        <v>3</v>
      </c>
      <c r="I204">
        <f t="shared" si="9"/>
        <v>0</v>
      </c>
      <c r="L204" s="9">
        <v>46051</v>
      </c>
      <c r="M204" s="9">
        <v>46063</v>
      </c>
      <c r="N204" s="18">
        <f t="shared" ca="1" si="10"/>
        <v>12</v>
      </c>
      <c r="O204" s="9">
        <v>46063</v>
      </c>
      <c r="P204" s="9" t="str">
        <f t="shared" si="11"/>
        <v>✅ Ja</v>
      </c>
      <c r="Q204" t="s">
        <v>838</v>
      </c>
      <c r="S204" t="s">
        <v>839</v>
      </c>
      <c r="T204" t="s">
        <v>540</v>
      </c>
      <c r="U204" t="s">
        <v>546</v>
      </c>
    </row>
    <row r="205" spans="2:21" x14ac:dyDescent="0.25">
      <c r="B205" t="s">
        <v>106</v>
      </c>
      <c r="C205" t="s">
        <v>469</v>
      </c>
      <c r="D205" t="str">
        <f>IF(_xlfn.XLOOKUP(C205, ABZ!A:A, ABZ!B:B, "", 0) = 0, "", _xlfn.XLOOKUP(C205, ABZ!A:A, ABZ!B:B, "", 0))</f>
        <v>VTR-CS-CM-Retail</v>
      </c>
      <c r="E205" t="s">
        <v>834</v>
      </c>
      <c r="F205" t="s">
        <v>529</v>
      </c>
      <c r="G205">
        <v>726</v>
      </c>
      <c r="I205">
        <f t="shared" si="9"/>
        <v>0</v>
      </c>
      <c r="L205" s="9">
        <v>46051</v>
      </c>
      <c r="M205" s="9">
        <v>46063</v>
      </c>
      <c r="N205" s="18">
        <f t="shared" ca="1" si="10"/>
        <v>12</v>
      </c>
      <c r="O205" s="9">
        <v>46063</v>
      </c>
      <c r="P205" s="9" t="str">
        <f t="shared" si="11"/>
        <v>✅ Ja</v>
      </c>
      <c r="Q205" t="s">
        <v>845</v>
      </c>
      <c r="S205" t="s">
        <v>839</v>
      </c>
      <c r="T205" t="s">
        <v>540</v>
      </c>
      <c r="U205" t="s">
        <v>546</v>
      </c>
    </row>
    <row r="206" spans="2:21" x14ac:dyDescent="0.25">
      <c r="B206" t="s">
        <v>106</v>
      </c>
      <c r="C206" t="s">
        <v>469</v>
      </c>
      <c r="D206" t="str">
        <f>IF(_xlfn.XLOOKUP(C206, ABZ!A:A, ABZ!B:B, "", 0) = 0, "", _xlfn.XLOOKUP(C206, ABZ!A:A, ABZ!B:B, "", 0))</f>
        <v>VTR-CS-CM-Retail</v>
      </c>
      <c r="E206" t="s">
        <v>834</v>
      </c>
      <c r="F206" t="s">
        <v>527</v>
      </c>
      <c r="G206">
        <v>726</v>
      </c>
      <c r="I206">
        <f t="shared" si="9"/>
        <v>0</v>
      </c>
      <c r="L206" s="9">
        <v>46051</v>
      </c>
      <c r="M206" s="9">
        <v>46063</v>
      </c>
      <c r="N206" s="18">
        <f t="shared" ca="1" si="10"/>
        <v>12</v>
      </c>
      <c r="O206" s="9">
        <v>46063</v>
      </c>
      <c r="P206" s="9" t="str">
        <f t="shared" si="11"/>
        <v>✅ Ja</v>
      </c>
      <c r="Q206" t="s">
        <v>849</v>
      </c>
      <c r="R206" t="s">
        <v>841</v>
      </c>
      <c r="S206" t="s">
        <v>839</v>
      </c>
      <c r="T206" t="s">
        <v>540</v>
      </c>
      <c r="U206" t="s">
        <v>553</v>
      </c>
    </row>
    <row r="207" spans="2:21" x14ac:dyDescent="0.25">
      <c r="B207" t="s">
        <v>106</v>
      </c>
      <c r="C207" t="s">
        <v>469</v>
      </c>
      <c r="D207" t="str">
        <f>IF(_xlfn.XLOOKUP(C207, ABZ!A:A, ABZ!B:B, "", 0) = 0, "", _xlfn.XLOOKUP(C207, ABZ!A:A, ABZ!B:B, "", 0))</f>
        <v>VTR-CS-CM-Retail</v>
      </c>
      <c r="E207" t="s">
        <v>834</v>
      </c>
      <c r="F207" t="s">
        <v>527</v>
      </c>
      <c r="G207">
        <v>726</v>
      </c>
      <c r="I207">
        <f t="shared" si="9"/>
        <v>0</v>
      </c>
      <c r="L207" s="9">
        <v>46051</v>
      </c>
      <c r="M207" s="9">
        <v>46063</v>
      </c>
      <c r="N207" s="18">
        <f t="shared" ca="1" si="10"/>
        <v>12</v>
      </c>
      <c r="O207" s="9">
        <v>46063</v>
      </c>
      <c r="P207" s="9" t="str">
        <f t="shared" si="11"/>
        <v>✅ Ja</v>
      </c>
      <c r="Q207" t="s">
        <v>836</v>
      </c>
      <c r="S207" t="s">
        <v>839</v>
      </c>
      <c r="T207" t="s">
        <v>540</v>
      </c>
      <c r="U207" t="s">
        <v>546</v>
      </c>
    </row>
    <row r="208" spans="2:21" x14ac:dyDescent="0.25">
      <c r="B208" t="s">
        <v>106</v>
      </c>
      <c r="C208" t="s">
        <v>469</v>
      </c>
      <c r="D208" t="str">
        <f>IF(_xlfn.XLOOKUP(C208, ABZ!A:A, ABZ!B:B, "", 0) = 0, "", _xlfn.XLOOKUP(C208, ABZ!A:A, ABZ!B:B, "", 0))</f>
        <v>VTR-CS-CM-Retail</v>
      </c>
      <c r="E208" t="s">
        <v>834</v>
      </c>
      <c r="F208" t="s">
        <v>527</v>
      </c>
      <c r="G208">
        <v>726</v>
      </c>
      <c r="I208">
        <f t="shared" si="9"/>
        <v>0</v>
      </c>
      <c r="L208" s="9">
        <v>46051</v>
      </c>
      <c r="M208" s="9">
        <v>46063</v>
      </c>
      <c r="N208" s="18">
        <f t="shared" ca="1" si="10"/>
        <v>12</v>
      </c>
      <c r="O208" s="9">
        <v>46063</v>
      </c>
      <c r="P208" s="9" t="str">
        <f t="shared" si="11"/>
        <v>✅ Ja</v>
      </c>
      <c r="Q208" t="s">
        <v>843</v>
      </c>
      <c r="S208" t="s">
        <v>839</v>
      </c>
      <c r="T208" t="s">
        <v>540</v>
      </c>
      <c r="U208" t="s">
        <v>546</v>
      </c>
    </row>
    <row r="209" spans="2:21" x14ac:dyDescent="0.25">
      <c r="B209" t="s">
        <v>106</v>
      </c>
      <c r="C209" t="s">
        <v>469</v>
      </c>
      <c r="D209" t="str">
        <f>IF(_xlfn.XLOOKUP(C209, ABZ!A:A, ABZ!B:B, "", 0) = 0, "", _xlfn.XLOOKUP(C209, ABZ!A:A, ABZ!B:B, "", 0))</f>
        <v>VTR-CS-CM-Retail</v>
      </c>
      <c r="E209" t="s">
        <v>834</v>
      </c>
      <c r="F209" t="s">
        <v>530</v>
      </c>
      <c r="G209">
        <v>726</v>
      </c>
      <c r="I209">
        <f t="shared" si="9"/>
        <v>0</v>
      </c>
      <c r="L209" s="9">
        <v>46051</v>
      </c>
      <c r="M209" s="9">
        <v>46064</v>
      </c>
      <c r="N209" s="18">
        <f t="shared" ca="1" si="10"/>
        <v>13</v>
      </c>
      <c r="O209" s="9">
        <v>46063</v>
      </c>
      <c r="P209" s="9" t="str">
        <f t="shared" si="11"/>
        <v>❌ Nein</v>
      </c>
      <c r="Q209" t="s">
        <v>844</v>
      </c>
      <c r="R209" t="s">
        <v>839</v>
      </c>
      <c r="S209" t="s">
        <v>839</v>
      </c>
      <c r="T209" t="s">
        <v>540</v>
      </c>
      <c r="U209" t="s">
        <v>546</v>
      </c>
    </row>
    <row r="210" spans="2:21" x14ac:dyDescent="0.25">
      <c r="B210" t="s">
        <v>107</v>
      </c>
      <c r="C210" t="s">
        <v>491</v>
      </c>
      <c r="D210" t="str">
        <f>IF(_xlfn.XLOOKUP(C210, ABZ!A:A, ABZ!B:B, "", 0) = 0, "", _xlfn.XLOOKUP(C210, ABZ!A:A, ABZ!B:B, "", 0))</f>
        <v>ENT-IT-BES-CloudServices</v>
      </c>
      <c r="E210" t="s">
        <v>835</v>
      </c>
      <c r="F210" t="s">
        <v>532</v>
      </c>
      <c r="G210">
        <v>3663</v>
      </c>
      <c r="H210">
        <v>4</v>
      </c>
      <c r="I210">
        <f t="shared" si="9"/>
        <v>0</v>
      </c>
      <c r="J210" t="s">
        <v>873</v>
      </c>
      <c r="K210">
        <v>154798</v>
      </c>
      <c r="L210" s="9">
        <v>46052</v>
      </c>
      <c r="M210" s="9">
        <v>46058</v>
      </c>
      <c r="N210" s="18">
        <f t="shared" ca="1" si="10"/>
        <v>6</v>
      </c>
      <c r="O210" s="9">
        <v>46058</v>
      </c>
      <c r="P210" s="9" t="str">
        <f t="shared" si="11"/>
        <v>✅ Ja</v>
      </c>
      <c r="Q210" t="s">
        <v>838</v>
      </c>
      <c r="S210" t="s">
        <v>838</v>
      </c>
      <c r="T210" t="s">
        <v>540</v>
      </c>
      <c r="U210" t="s">
        <v>589</v>
      </c>
    </row>
    <row r="211" spans="2:21" x14ac:dyDescent="0.25">
      <c r="B211" t="s">
        <v>107</v>
      </c>
      <c r="C211" t="s">
        <v>491</v>
      </c>
      <c r="D211" t="str">
        <f>IF(_xlfn.XLOOKUP(C211, ABZ!A:A, ABZ!B:B, "", 0) = 0, "", _xlfn.XLOOKUP(C211, ABZ!A:A, ABZ!B:B, "", 0))</f>
        <v>ENT-IT-BES-CloudServices</v>
      </c>
      <c r="E211" t="s">
        <v>834</v>
      </c>
      <c r="F211" t="s">
        <v>529</v>
      </c>
      <c r="G211">
        <v>3663</v>
      </c>
      <c r="I211">
        <f t="shared" si="9"/>
        <v>0</v>
      </c>
      <c r="J211" t="s">
        <v>873</v>
      </c>
      <c r="K211">
        <v>154798</v>
      </c>
      <c r="L211" s="9">
        <v>46052</v>
      </c>
      <c r="M211" s="9">
        <v>46062</v>
      </c>
      <c r="N211" s="18">
        <f t="shared" ca="1" si="10"/>
        <v>10</v>
      </c>
      <c r="O211" s="9">
        <v>46062</v>
      </c>
      <c r="P211" s="9" t="str">
        <f t="shared" si="11"/>
        <v>✅ Ja</v>
      </c>
      <c r="Q211" t="s">
        <v>846</v>
      </c>
      <c r="S211" t="s">
        <v>838</v>
      </c>
      <c r="T211" t="s">
        <v>540</v>
      </c>
      <c r="U211" t="s">
        <v>589</v>
      </c>
    </row>
    <row r="212" spans="2:21" x14ac:dyDescent="0.25">
      <c r="B212" t="s">
        <v>107</v>
      </c>
      <c r="C212" t="s">
        <v>491</v>
      </c>
      <c r="D212" t="str">
        <f>IF(_xlfn.XLOOKUP(C212, ABZ!A:A, ABZ!B:B, "", 0) = 0, "", _xlfn.XLOOKUP(C212, ABZ!A:A, ABZ!B:B, "", 0))</f>
        <v>ENT-IT-BES-CloudServices</v>
      </c>
      <c r="E212" t="s">
        <v>834</v>
      </c>
      <c r="F212" t="s">
        <v>530</v>
      </c>
      <c r="G212">
        <v>3663</v>
      </c>
      <c r="I212">
        <f t="shared" si="9"/>
        <v>0</v>
      </c>
      <c r="J212" t="s">
        <v>873</v>
      </c>
      <c r="K212">
        <v>154798</v>
      </c>
      <c r="L212" s="9">
        <v>46052</v>
      </c>
      <c r="M212" s="9">
        <v>46062</v>
      </c>
      <c r="N212" s="18">
        <f t="shared" ca="1" si="10"/>
        <v>10</v>
      </c>
      <c r="O212" s="9">
        <v>46062</v>
      </c>
      <c r="P212" s="9" t="str">
        <f t="shared" si="11"/>
        <v>✅ Ja</v>
      </c>
      <c r="Q212" t="s">
        <v>844</v>
      </c>
      <c r="R212" t="s">
        <v>839</v>
      </c>
      <c r="S212" t="s">
        <v>838</v>
      </c>
      <c r="T212" t="s">
        <v>540</v>
      </c>
      <c r="U212" t="s">
        <v>590</v>
      </c>
    </row>
    <row r="213" spans="2:21" x14ac:dyDescent="0.25">
      <c r="B213" t="s">
        <v>107</v>
      </c>
      <c r="C213" t="s">
        <v>491</v>
      </c>
      <c r="D213" t="str">
        <f>IF(_xlfn.XLOOKUP(C213, ABZ!A:A, ABZ!B:B, "", 0) = 0, "", _xlfn.XLOOKUP(C213, ABZ!A:A, ABZ!B:B, "", 0))</f>
        <v>ENT-IT-BES-CloudServices</v>
      </c>
      <c r="E213" t="s">
        <v>834</v>
      </c>
      <c r="F213" t="s">
        <v>527</v>
      </c>
      <c r="G213">
        <v>3663</v>
      </c>
      <c r="I213">
        <f t="shared" si="9"/>
        <v>0</v>
      </c>
      <c r="J213" t="s">
        <v>873</v>
      </c>
      <c r="K213">
        <v>154798</v>
      </c>
      <c r="L213" s="9">
        <v>46052</v>
      </c>
      <c r="M213" s="9">
        <v>46062</v>
      </c>
      <c r="N213" s="18">
        <f t="shared" ca="1" si="10"/>
        <v>10</v>
      </c>
      <c r="O213" s="9">
        <v>46062</v>
      </c>
      <c r="P213" s="9" t="str">
        <f t="shared" si="11"/>
        <v>✅ Ja</v>
      </c>
      <c r="Q213" t="s">
        <v>840</v>
      </c>
      <c r="S213" t="s">
        <v>838</v>
      </c>
      <c r="T213" t="s">
        <v>540</v>
      </c>
      <c r="U213" t="s">
        <v>589</v>
      </c>
    </row>
    <row r="214" spans="2:21" x14ac:dyDescent="0.25">
      <c r="B214" t="s">
        <v>107</v>
      </c>
      <c r="C214" t="s">
        <v>491</v>
      </c>
      <c r="D214" t="str">
        <f>IF(_xlfn.XLOOKUP(C214, ABZ!A:A, ABZ!B:B, "", 0) = 0, "", _xlfn.XLOOKUP(C214, ABZ!A:A, ABZ!B:B, "", 0))</f>
        <v>ENT-IT-BES-CloudServices</v>
      </c>
      <c r="E214" t="s">
        <v>834</v>
      </c>
      <c r="F214" t="s">
        <v>528</v>
      </c>
      <c r="G214">
        <v>3663</v>
      </c>
      <c r="I214">
        <f t="shared" si="9"/>
        <v>0</v>
      </c>
      <c r="J214" t="s">
        <v>873</v>
      </c>
      <c r="K214">
        <v>154798</v>
      </c>
      <c r="L214" s="9">
        <v>46052</v>
      </c>
      <c r="M214" s="9">
        <v>46062</v>
      </c>
      <c r="N214" s="18">
        <f t="shared" ca="1" si="10"/>
        <v>10</v>
      </c>
      <c r="O214" s="9">
        <v>46062</v>
      </c>
      <c r="P214" s="9" t="str">
        <f t="shared" si="11"/>
        <v>✅ Ja</v>
      </c>
      <c r="Q214" t="s">
        <v>841</v>
      </c>
      <c r="S214" t="s">
        <v>838</v>
      </c>
      <c r="T214" t="s">
        <v>540</v>
      </c>
      <c r="U214" t="s">
        <v>589</v>
      </c>
    </row>
    <row r="215" spans="2:21" x14ac:dyDescent="0.25">
      <c r="B215" t="s">
        <v>107</v>
      </c>
      <c r="C215" t="s">
        <v>491</v>
      </c>
      <c r="D215" t="str">
        <f>IF(_xlfn.XLOOKUP(C215, ABZ!A:A, ABZ!B:B, "", 0) = 0, "", _xlfn.XLOOKUP(C215, ABZ!A:A, ABZ!B:B, "", 0))</f>
        <v>ENT-IT-BES-CloudServices</v>
      </c>
      <c r="E215" t="s">
        <v>834</v>
      </c>
      <c r="F215" t="s">
        <v>527</v>
      </c>
      <c r="G215">
        <v>3663</v>
      </c>
      <c r="I215">
        <f t="shared" si="9"/>
        <v>0</v>
      </c>
      <c r="J215" t="s">
        <v>873</v>
      </c>
      <c r="K215">
        <v>154798</v>
      </c>
      <c r="L215" s="9">
        <v>46052</v>
      </c>
      <c r="M215" s="9">
        <v>46062</v>
      </c>
      <c r="N215" s="18">
        <f t="shared" ca="1" si="10"/>
        <v>10</v>
      </c>
      <c r="O215" s="9">
        <v>46062</v>
      </c>
      <c r="P215" s="9" t="str">
        <f t="shared" si="11"/>
        <v>✅ Ja</v>
      </c>
      <c r="Q215" t="s">
        <v>836</v>
      </c>
      <c r="S215" t="s">
        <v>838</v>
      </c>
      <c r="T215" t="s">
        <v>540</v>
      </c>
      <c r="U215" t="s">
        <v>589</v>
      </c>
    </row>
    <row r="216" spans="2:21" x14ac:dyDescent="0.25">
      <c r="B216" t="s">
        <v>108</v>
      </c>
      <c r="C216" t="s">
        <v>482</v>
      </c>
      <c r="D216" t="str">
        <f>IF(_xlfn.XLOOKUP(C216, ABZ!A:A, ABZ!B:B, "", 0) = 0, "", _xlfn.XLOOKUP(C216, ABZ!A:A, ABZ!B:B, "", 0))</f>
        <v>KOM-Marketing</v>
      </c>
      <c r="E216" t="s">
        <v>834</v>
      </c>
      <c r="F216" t="s">
        <v>529</v>
      </c>
      <c r="I216">
        <f t="shared" si="9"/>
        <v>1</v>
      </c>
      <c r="L216" s="9">
        <v>46055</v>
      </c>
      <c r="M216" s="9">
        <v>46055</v>
      </c>
      <c r="N216" s="18">
        <f t="shared" ca="1" si="10"/>
        <v>0</v>
      </c>
      <c r="O216" s="9">
        <v>46056</v>
      </c>
      <c r="P216" s="9" t="str">
        <f t="shared" si="11"/>
        <v>✅ Ja</v>
      </c>
      <c r="Q216" t="s">
        <v>846</v>
      </c>
      <c r="S216" t="s">
        <v>840</v>
      </c>
      <c r="T216" t="s">
        <v>540</v>
      </c>
      <c r="U216" t="s">
        <v>591</v>
      </c>
    </row>
    <row r="217" spans="2:21" x14ac:dyDescent="0.25">
      <c r="B217" t="s">
        <v>109</v>
      </c>
      <c r="C217" t="s">
        <v>482</v>
      </c>
      <c r="D217" t="str">
        <f>IF(_xlfn.XLOOKUP(C217, ABZ!A:A, ABZ!B:B, "", 0) = 0, "", _xlfn.XLOOKUP(C217, ABZ!A:A, ABZ!B:B, "", 0))</f>
        <v>KOM-Marketing</v>
      </c>
      <c r="E217" t="s">
        <v>834</v>
      </c>
      <c r="F217" t="s">
        <v>529</v>
      </c>
      <c r="I217">
        <f t="shared" si="9"/>
        <v>1</v>
      </c>
      <c r="L217" s="9">
        <v>46055</v>
      </c>
      <c r="M217" s="9">
        <v>46055</v>
      </c>
      <c r="N217" s="18">
        <f t="shared" ca="1" si="10"/>
        <v>0</v>
      </c>
      <c r="O217" s="9">
        <v>46057</v>
      </c>
      <c r="P217" s="9" t="str">
        <f t="shared" si="11"/>
        <v>✅ Ja</v>
      </c>
      <c r="Q217" t="s">
        <v>846</v>
      </c>
      <c r="S217" t="s">
        <v>840</v>
      </c>
      <c r="T217" t="s">
        <v>540</v>
      </c>
      <c r="U217" t="s">
        <v>591</v>
      </c>
    </row>
    <row r="218" spans="2:21" x14ac:dyDescent="0.25">
      <c r="B218" t="s">
        <v>110</v>
      </c>
      <c r="C218" t="s">
        <v>460</v>
      </c>
      <c r="D218" t="str">
        <f>IF(_xlfn.XLOOKUP(C218, ABZ!A:A, ABZ!B:B, "", 0) = 0, "", _xlfn.XLOOKUP(C218, ABZ!A:A, ABZ!B:B, "", 0))</f>
        <v>ENT-PM-F-OS</v>
      </c>
      <c r="E218" t="s">
        <v>835</v>
      </c>
      <c r="F218" t="s">
        <v>532</v>
      </c>
      <c r="H218">
        <v>1</v>
      </c>
      <c r="I218">
        <f t="shared" si="9"/>
        <v>0</v>
      </c>
      <c r="J218" t="s">
        <v>875</v>
      </c>
      <c r="K218" t="s">
        <v>856</v>
      </c>
      <c r="L218" s="9">
        <v>45691</v>
      </c>
      <c r="M218" s="9">
        <v>46056</v>
      </c>
      <c r="N218" s="18">
        <f t="shared" ca="1" si="10"/>
        <v>365</v>
      </c>
      <c r="O218" s="9">
        <v>46056</v>
      </c>
      <c r="P218" s="9" t="str">
        <f t="shared" si="11"/>
        <v>✅ Ja</v>
      </c>
      <c r="Q218" t="s">
        <v>838</v>
      </c>
      <c r="S218" t="s">
        <v>838</v>
      </c>
      <c r="T218" t="s">
        <v>540</v>
      </c>
      <c r="U218" t="s">
        <v>592</v>
      </c>
    </row>
    <row r="219" spans="2:21" x14ac:dyDescent="0.25">
      <c r="B219" t="s">
        <v>111</v>
      </c>
      <c r="C219" t="s">
        <v>460</v>
      </c>
      <c r="D219" t="str">
        <f>IF(_xlfn.XLOOKUP(C219, ABZ!A:A, ABZ!B:B, "", 0) = 0, "", _xlfn.XLOOKUP(C219, ABZ!A:A, ABZ!B:B, "", 0))</f>
        <v>ENT-PM-F-OS</v>
      </c>
      <c r="E219" t="s">
        <v>835</v>
      </c>
      <c r="F219" t="s">
        <v>532</v>
      </c>
      <c r="H219">
        <v>1</v>
      </c>
      <c r="I219">
        <f t="shared" si="9"/>
        <v>0</v>
      </c>
      <c r="J219" t="s">
        <v>875</v>
      </c>
      <c r="K219" t="s">
        <v>856</v>
      </c>
      <c r="L219" s="9">
        <v>45691</v>
      </c>
      <c r="M219" s="9">
        <v>46056</v>
      </c>
      <c r="N219" s="18">
        <f t="shared" ca="1" si="10"/>
        <v>365</v>
      </c>
      <c r="O219" s="9">
        <v>46056</v>
      </c>
      <c r="P219" s="9" t="str">
        <f t="shared" si="11"/>
        <v>✅ Ja</v>
      </c>
      <c r="Q219" t="s">
        <v>838</v>
      </c>
      <c r="S219" t="s">
        <v>838</v>
      </c>
      <c r="T219" t="s">
        <v>540</v>
      </c>
      <c r="U219" t="s">
        <v>592</v>
      </c>
    </row>
    <row r="220" spans="2:21" x14ac:dyDescent="0.25">
      <c r="B220" t="s">
        <v>112</v>
      </c>
      <c r="C220" t="s">
        <v>458</v>
      </c>
      <c r="D220" t="str">
        <f>IF(_xlfn.XLOOKUP(C220, ABZ!A:A, ABZ!B:B, "", 0) = 0, "", _xlfn.XLOOKUP(C220, ABZ!A:A, ABZ!B:B, "", 0))</f>
        <v>VTR-CS-SER-PartnerCommunication</v>
      </c>
      <c r="E220" t="s">
        <v>834</v>
      </c>
      <c r="F220" t="s">
        <v>530</v>
      </c>
      <c r="I220">
        <f t="shared" si="9"/>
        <v>0</v>
      </c>
      <c r="L220" s="9">
        <v>46057</v>
      </c>
      <c r="M220" s="9">
        <v>46062</v>
      </c>
      <c r="N220" s="18">
        <f t="shared" ca="1" si="10"/>
        <v>5</v>
      </c>
      <c r="O220" s="9">
        <v>46064</v>
      </c>
      <c r="P220" s="9" t="str">
        <f t="shared" si="11"/>
        <v>✅ Ja</v>
      </c>
      <c r="Q220" t="s">
        <v>844</v>
      </c>
      <c r="R220" t="s">
        <v>839</v>
      </c>
      <c r="S220" t="s">
        <v>839</v>
      </c>
      <c r="T220" t="s">
        <v>540</v>
      </c>
      <c r="U220" t="s">
        <v>546</v>
      </c>
    </row>
    <row r="221" spans="2:21" x14ac:dyDescent="0.25">
      <c r="B221" t="s">
        <v>113</v>
      </c>
      <c r="C221" t="s">
        <v>474</v>
      </c>
      <c r="D221" t="str">
        <f>IF(_xlfn.XLOOKUP(C221, ABZ!A:A, ABZ!B:B, "", 0) = 0, "", _xlfn.XLOOKUP(C221, ABZ!A:A, ABZ!B:B, "", 0))</f>
        <v>SUP-KS-Verwaltung</v>
      </c>
      <c r="E221" t="s">
        <v>834</v>
      </c>
      <c r="F221" t="s">
        <v>535</v>
      </c>
      <c r="I221">
        <f t="shared" si="9"/>
        <v>1</v>
      </c>
      <c r="J221" t="s">
        <v>875</v>
      </c>
      <c r="K221" t="s">
        <v>857</v>
      </c>
      <c r="L221" s="9">
        <v>46057</v>
      </c>
      <c r="M221" s="9">
        <v>46058</v>
      </c>
      <c r="N221" s="18">
        <f t="shared" ca="1" si="10"/>
        <v>1</v>
      </c>
      <c r="O221" s="9">
        <v>46058</v>
      </c>
      <c r="P221" s="9" t="str">
        <f t="shared" si="11"/>
        <v>✅ Ja</v>
      </c>
      <c r="Q221" t="s">
        <v>842</v>
      </c>
      <c r="S221" t="s">
        <v>840</v>
      </c>
      <c r="T221" t="s">
        <v>540</v>
      </c>
      <c r="U221" t="s">
        <v>593</v>
      </c>
    </row>
    <row r="222" spans="2:21" x14ac:dyDescent="0.25">
      <c r="B222" t="s">
        <v>114</v>
      </c>
      <c r="C222" t="s">
        <v>492</v>
      </c>
      <c r="D222" t="str">
        <f>IF(_xlfn.XLOOKUP(C222, ABZ!A:A, ABZ!B:B, "", 0) = 0, "", _xlfn.XLOOKUP(C222, ABZ!A:A, ABZ!B:B, "", 0))</f>
        <v>KOM-PR</v>
      </c>
      <c r="E222" t="s">
        <v>835</v>
      </c>
      <c r="F222" t="s">
        <v>532</v>
      </c>
      <c r="H222">
        <v>9</v>
      </c>
      <c r="I222">
        <f t="shared" si="9"/>
        <v>1</v>
      </c>
      <c r="J222" t="s">
        <v>875</v>
      </c>
      <c r="K222" t="s">
        <v>858</v>
      </c>
      <c r="L222" s="9">
        <v>46057</v>
      </c>
      <c r="M222" s="9">
        <v>46057</v>
      </c>
      <c r="N222" s="18">
        <f t="shared" ca="1" si="10"/>
        <v>0</v>
      </c>
      <c r="O222" s="9">
        <v>46057</v>
      </c>
      <c r="P222" s="9" t="str">
        <f t="shared" si="11"/>
        <v>✅ Ja</v>
      </c>
      <c r="Q222" t="s">
        <v>838</v>
      </c>
      <c r="S222" t="s">
        <v>838</v>
      </c>
      <c r="T222" t="s">
        <v>540</v>
      </c>
      <c r="U222" t="s">
        <v>591</v>
      </c>
    </row>
    <row r="223" spans="2:21" x14ac:dyDescent="0.25">
      <c r="B223" t="s">
        <v>115</v>
      </c>
      <c r="C223" t="s">
        <v>492</v>
      </c>
      <c r="D223" t="str">
        <f>IF(_xlfn.XLOOKUP(C223, ABZ!A:A, ABZ!B:B, "", 0) = 0, "", _xlfn.XLOOKUP(C223, ABZ!A:A, ABZ!B:B, "", 0))</f>
        <v>KOM-PR</v>
      </c>
      <c r="E223" t="s">
        <v>834</v>
      </c>
      <c r="F223" t="s">
        <v>529</v>
      </c>
      <c r="I223">
        <f t="shared" si="9"/>
        <v>0</v>
      </c>
      <c r="J223" t="s">
        <v>875</v>
      </c>
      <c r="K223" t="s">
        <v>858</v>
      </c>
      <c r="L223" s="9">
        <v>46057</v>
      </c>
      <c r="M223" s="9">
        <v>46058</v>
      </c>
      <c r="N223" s="18">
        <f t="shared" ca="1" si="10"/>
        <v>1</v>
      </c>
      <c r="O223" s="9">
        <v>46062</v>
      </c>
      <c r="P223" s="9" t="str">
        <f t="shared" si="11"/>
        <v>✅ Ja</v>
      </c>
      <c r="Q223" t="s">
        <v>846</v>
      </c>
      <c r="R223" t="s">
        <v>837</v>
      </c>
      <c r="S223" t="s">
        <v>838</v>
      </c>
      <c r="T223" t="s">
        <v>540</v>
      </c>
      <c r="U223" t="s">
        <v>594</v>
      </c>
    </row>
    <row r="224" spans="2:21" x14ac:dyDescent="0.25">
      <c r="B224" t="s">
        <v>116</v>
      </c>
      <c r="C224" t="s">
        <v>492</v>
      </c>
      <c r="D224" t="str">
        <f>IF(_xlfn.XLOOKUP(C224, ABZ!A:A, ABZ!B:B, "", 0) = 0, "", _xlfn.XLOOKUP(C224, ABZ!A:A, ABZ!B:B, "", 0))</f>
        <v>KOM-PR</v>
      </c>
      <c r="E224" t="s">
        <v>835</v>
      </c>
      <c r="F224" t="s">
        <v>532</v>
      </c>
      <c r="H224">
        <v>5</v>
      </c>
      <c r="I224">
        <f t="shared" si="9"/>
        <v>1</v>
      </c>
      <c r="J224" t="s">
        <v>875</v>
      </c>
      <c r="K224" t="s">
        <v>859</v>
      </c>
      <c r="L224" s="9">
        <v>46057</v>
      </c>
      <c r="M224" s="9">
        <v>46057</v>
      </c>
      <c r="N224" s="18">
        <f t="shared" ca="1" si="10"/>
        <v>0</v>
      </c>
      <c r="O224" s="9">
        <v>46057</v>
      </c>
      <c r="P224" s="9" t="str">
        <f t="shared" si="11"/>
        <v>✅ Ja</v>
      </c>
      <c r="Q224" t="s">
        <v>838</v>
      </c>
      <c r="S224" t="s">
        <v>838</v>
      </c>
      <c r="T224" t="s">
        <v>540</v>
      </c>
      <c r="U224" t="s">
        <v>591</v>
      </c>
    </row>
    <row r="225" spans="2:21" x14ac:dyDescent="0.25">
      <c r="B225" t="s">
        <v>117</v>
      </c>
      <c r="C225" t="s">
        <v>492</v>
      </c>
      <c r="D225" t="str">
        <f>IF(_xlfn.XLOOKUP(C225, ABZ!A:A, ABZ!B:B, "", 0) = 0, "", _xlfn.XLOOKUP(C225, ABZ!A:A, ABZ!B:B, "", 0))</f>
        <v>KOM-PR</v>
      </c>
      <c r="E225" t="s">
        <v>834</v>
      </c>
      <c r="F225" t="s">
        <v>529</v>
      </c>
      <c r="I225">
        <f t="shared" si="9"/>
        <v>0</v>
      </c>
      <c r="J225" t="s">
        <v>875</v>
      </c>
      <c r="K225" t="s">
        <v>859</v>
      </c>
      <c r="L225" s="9">
        <v>46057</v>
      </c>
      <c r="M225" s="9">
        <v>46062</v>
      </c>
      <c r="N225" s="18">
        <f t="shared" ca="1" si="10"/>
        <v>5</v>
      </c>
      <c r="O225" s="9">
        <v>46062</v>
      </c>
      <c r="P225" s="9" t="str">
        <f t="shared" si="11"/>
        <v>✅ Ja</v>
      </c>
      <c r="Q225" t="s">
        <v>837</v>
      </c>
      <c r="R225" t="s">
        <v>846</v>
      </c>
      <c r="S225" t="s">
        <v>838</v>
      </c>
      <c r="T225" t="s">
        <v>540</v>
      </c>
      <c r="U225" t="s">
        <v>594</v>
      </c>
    </row>
    <row r="226" spans="2:21" ht="16.5" x14ac:dyDescent="0.3">
      <c r="B226" s="2" t="s">
        <v>118</v>
      </c>
      <c r="C226" s="8" t="s">
        <v>458</v>
      </c>
      <c r="D226" t="str">
        <f>IF(_xlfn.XLOOKUP(C226, ABZ!A:A, ABZ!B:B, "", 0) = 0, "", _xlfn.XLOOKUP(C226, ABZ!A:A, ABZ!B:B, "", 0))</f>
        <v>VTR-CS-SER-PartnerCommunication</v>
      </c>
      <c r="E226" t="s">
        <v>834</v>
      </c>
      <c r="F226" t="s">
        <v>527</v>
      </c>
      <c r="I226">
        <f t="shared" si="9"/>
        <v>0</v>
      </c>
      <c r="L226" s="9">
        <v>46057</v>
      </c>
      <c r="M226" s="9">
        <v>46064</v>
      </c>
      <c r="N226" s="18">
        <f t="shared" ca="1" si="10"/>
        <v>7</v>
      </c>
      <c r="O226" s="9">
        <v>46064</v>
      </c>
      <c r="P226" s="9" t="str">
        <f t="shared" si="11"/>
        <v>✅ Ja</v>
      </c>
      <c r="Q226" s="8" t="s">
        <v>849</v>
      </c>
      <c r="R226" t="s">
        <v>841</v>
      </c>
      <c r="S226" t="s">
        <v>839</v>
      </c>
      <c r="T226" t="s">
        <v>540</v>
      </c>
      <c r="U226" t="s">
        <v>595</v>
      </c>
    </row>
    <row r="227" spans="2:21" ht="16.5" x14ac:dyDescent="0.3">
      <c r="B227" s="2" t="s">
        <v>119</v>
      </c>
      <c r="C227" s="8" t="s">
        <v>480</v>
      </c>
      <c r="D227" t="str">
        <f>IF(_xlfn.XLOOKUP(C227, ABZ!A:A, ABZ!B:B, "", 0) = 0, "", _xlfn.XLOOKUP(C227, ABZ!A:A, ABZ!B:B, "", 0))</f>
        <v>D2C-MarketingContent</v>
      </c>
      <c r="E227" t="s">
        <v>834</v>
      </c>
      <c r="F227" t="s">
        <v>529</v>
      </c>
      <c r="I227">
        <f t="shared" si="9"/>
        <v>0</v>
      </c>
      <c r="L227" s="9">
        <v>46058</v>
      </c>
      <c r="M227" s="9">
        <v>46063</v>
      </c>
      <c r="N227" s="18">
        <f t="shared" ca="1" si="10"/>
        <v>5</v>
      </c>
      <c r="O227" s="9">
        <v>46066</v>
      </c>
      <c r="P227" s="9" t="str">
        <f t="shared" si="11"/>
        <v>✅ Ja</v>
      </c>
      <c r="Q227" s="8" t="s">
        <v>846</v>
      </c>
      <c r="S227" t="s">
        <v>841</v>
      </c>
      <c r="T227" t="s">
        <v>540</v>
      </c>
      <c r="U227" s="8" t="s">
        <v>596</v>
      </c>
    </row>
    <row r="228" spans="2:21" ht="16.5" x14ac:dyDescent="0.3">
      <c r="B228" s="2" t="s">
        <v>119</v>
      </c>
      <c r="C228" s="8" t="s">
        <v>480</v>
      </c>
      <c r="D228" t="str">
        <f>IF(_xlfn.XLOOKUP(C228, ABZ!A:A, ABZ!B:B, "", 0) = 0, "", _xlfn.XLOOKUP(C228, ABZ!A:A, ABZ!B:B, "", 0))</f>
        <v>D2C-MarketingContent</v>
      </c>
      <c r="E228" t="s">
        <v>834</v>
      </c>
      <c r="F228" t="s">
        <v>527</v>
      </c>
      <c r="I228">
        <f t="shared" si="9"/>
        <v>0</v>
      </c>
      <c r="L228" s="9">
        <v>46058</v>
      </c>
      <c r="M228" s="9">
        <v>46065</v>
      </c>
      <c r="N228" s="18">
        <f t="shared" ca="1" si="10"/>
        <v>7</v>
      </c>
      <c r="O228" s="9">
        <v>46066</v>
      </c>
      <c r="P228" s="9" t="str">
        <f t="shared" si="11"/>
        <v>✅ Ja</v>
      </c>
      <c r="Q228" s="8" t="s">
        <v>839</v>
      </c>
      <c r="S228" t="s">
        <v>841</v>
      </c>
      <c r="T228" t="s">
        <v>540</v>
      </c>
      <c r="U228" s="8" t="s">
        <v>596</v>
      </c>
    </row>
    <row r="229" spans="2:21" ht="16.5" x14ac:dyDescent="0.3">
      <c r="B229" s="2" t="s">
        <v>119</v>
      </c>
      <c r="C229" s="8" t="s">
        <v>480</v>
      </c>
      <c r="D229" t="str">
        <f>IF(_xlfn.XLOOKUP(C229, ABZ!A:A, ABZ!B:B, "", 0) = 0, "", _xlfn.XLOOKUP(C229, ABZ!A:A, ABZ!B:B, "", 0))</f>
        <v>D2C-MarketingContent</v>
      </c>
      <c r="E229" t="s">
        <v>834</v>
      </c>
      <c r="F229" t="s">
        <v>527</v>
      </c>
      <c r="I229">
        <f t="shared" si="9"/>
        <v>0</v>
      </c>
      <c r="L229" s="9">
        <v>46058</v>
      </c>
      <c r="M229" s="9">
        <v>46063</v>
      </c>
      <c r="N229" s="18">
        <f t="shared" ca="1" si="10"/>
        <v>5</v>
      </c>
      <c r="O229" s="9">
        <v>46066</v>
      </c>
      <c r="P229" s="9" t="str">
        <f t="shared" si="11"/>
        <v>✅ Ja</v>
      </c>
      <c r="Q229" s="8" t="s">
        <v>840</v>
      </c>
      <c r="S229" t="s">
        <v>841</v>
      </c>
      <c r="T229" t="s">
        <v>540</v>
      </c>
      <c r="U229" s="8" t="s">
        <v>596</v>
      </c>
    </row>
    <row r="230" spans="2:21" ht="16.5" x14ac:dyDescent="0.3">
      <c r="B230" s="2" t="s">
        <v>119</v>
      </c>
      <c r="C230" s="8" t="s">
        <v>480</v>
      </c>
      <c r="D230" t="str">
        <f>IF(_xlfn.XLOOKUP(C230, ABZ!A:A, ABZ!B:B, "", 0) = 0, "", _xlfn.XLOOKUP(C230, ABZ!A:A, ABZ!B:B, "", 0))</f>
        <v>D2C-MarketingContent</v>
      </c>
      <c r="E230" t="s">
        <v>834</v>
      </c>
      <c r="F230" t="s">
        <v>528</v>
      </c>
      <c r="I230">
        <f t="shared" si="9"/>
        <v>0</v>
      </c>
      <c r="L230" s="9">
        <v>46058</v>
      </c>
      <c r="M230" s="9">
        <v>46059</v>
      </c>
      <c r="N230" s="18">
        <f t="shared" ca="1" si="10"/>
        <v>1</v>
      </c>
      <c r="O230" s="9">
        <v>46066</v>
      </c>
      <c r="P230" s="9" t="str">
        <f t="shared" si="11"/>
        <v>✅ Ja</v>
      </c>
      <c r="Q230" s="8" t="s">
        <v>841</v>
      </c>
      <c r="S230" t="s">
        <v>841</v>
      </c>
      <c r="T230" t="s">
        <v>540</v>
      </c>
      <c r="U230" s="8" t="s">
        <v>596</v>
      </c>
    </row>
    <row r="231" spans="2:21" ht="16.5" x14ac:dyDescent="0.3">
      <c r="B231" s="2" t="s">
        <v>119</v>
      </c>
      <c r="C231" s="8" t="s">
        <v>480</v>
      </c>
      <c r="D231" t="str">
        <f>IF(_xlfn.XLOOKUP(C231, ABZ!A:A, ABZ!B:B, "", 0) = 0, "", _xlfn.XLOOKUP(C231, ABZ!A:A, ABZ!B:B, "", 0))</f>
        <v>D2C-MarketingContent</v>
      </c>
      <c r="E231" t="s">
        <v>834</v>
      </c>
      <c r="F231" t="s">
        <v>527</v>
      </c>
      <c r="I231">
        <f t="shared" si="9"/>
        <v>0</v>
      </c>
      <c r="L231" s="9">
        <v>46058</v>
      </c>
      <c r="M231" s="9">
        <v>46065</v>
      </c>
      <c r="N231" s="18">
        <f t="shared" ca="1" si="10"/>
        <v>7</v>
      </c>
      <c r="O231" s="9">
        <v>46066</v>
      </c>
      <c r="P231" s="9" t="str">
        <f t="shared" si="11"/>
        <v>✅ Ja</v>
      </c>
      <c r="Q231" s="8" t="s">
        <v>836</v>
      </c>
      <c r="S231" t="s">
        <v>841</v>
      </c>
      <c r="T231" t="s">
        <v>540</v>
      </c>
      <c r="U231" s="8" t="s">
        <v>596</v>
      </c>
    </row>
    <row r="232" spans="2:21" ht="16.5" x14ac:dyDescent="0.3">
      <c r="B232" t="s">
        <v>120</v>
      </c>
      <c r="C232" t="s">
        <v>493</v>
      </c>
      <c r="D232" t="str">
        <f>IF(_xlfn.XLOOKUP(C232, ABZ!A:A, ABZ!B:B, "", 0) = 0, "", _xlfn.XLOOKUP(C232, ABZ!A:A, ABZ!B:B, "", 0))</f>
        <v>SUP-TechnicalCommunication-TCO</v>
      </c>
      <c r="E232" t="s">
        <v>834</v>
      </c>
      <c r="F232" t="s">
        <v>529</v>
      </c>
      <c r="I232">
        <f t="shared" si="9"/>
        <v>0</v>
      </c>
      <c r="L232" s="9">
        <v>46058</v>
      </c>
      <c r="M232" s="9">
        <v>46063</v>
      </c>
      <c r="N232" s="18">
        <f t="shared" ca="1" si="10"/>
        <v>5</v>
      </c>
      <c r="O232" s="9">
        <v>46063</v>
      </c>
      <c r="P232" s="9" t="str">
        <f t="shared" si="11"/>
        <v>✅ Ja</v>
      </c>
      <c r="Q232" t="s">
        <v>837</v>
      </c>
      <c r="S232" t="s">
        <v>839</v>
      </c>
      <c r="T232" t="s">
        <v>540</v>
      </c>
      <c r="U232" s="2" t="s">
        <v>597</v>
      </c>
    </row>
    <row r="233" spans="2:21" ht="16.5" x14ac:dyDescent="0.3">
      <c r="B233" t="s">
        <v>120</v>
      </c>
      <c r="C233" t="s">
        <v>493</v>
      </c>
      <c r="D233" t="str">
        <f>IF(_xlfn.XLOOKUP(C233, ABZ!A:A, ABZ!B:B, "", 0) = 0, "", _xlfn.XLOOKUP(C233, ABZ!A:A, ABZ!B:B, "", 0))</f>
        <v>SUP-TechnicalCommunication-TCO</v>
      </c>
      <c r="E233" t="s">
        <v>834</v>
      </c>
      <c r="F233" t="s">
        <v>531</v>
      </c>
      <c r="I233">
        <f t="shared" si="9"/>
        <v>0</v>
      </c>
      <c r="L233" s="9">
        <v>46058</v>
      </c>
      <c r="M233" s="9">
        <v>46063</v>
      </c>
      <c r="N233" s="18">
        <f t="shared" ca="1" si="10"/>
        <v>5</v>
      </c>
      <c r="O233" s="9">
        <v>46063</v>
      </c>
      <c r="P233" s="9" t="str">
        <f t="shared" si="11"/>
        <v>✅ Ja</v>
      </c>
      <c r="Q233" t="s">
        <v>843</v>
      </c>
      <c r="S233" t="s">
        <v>839</v>
      </c>
      <c r="T233" t="s">
        <v>540</v>
      </c>
      <c r="U233" s="2" t="s">
        <v>597</v>
      </c>
    </row>
    <row r="234" spans="2:21" ht="16.5" x14ac:dyDescent="0.3">
      <c r="B234" t="s">
        <v>120</v>
      </c>
      <c r="C234" t="s">
        <v>493</v>
      </c>
      <c r="D234" t="str">
        <f>IF(_xlfn.XLOOKUP(C234, ABZ!A:A, ABZ!B:B, "", 0) = 0, "", _xlfn.XLOOKUP(C234, ABZ!A:A, ABZ!B:B, "", 0))</f>
        <v>SUP-TechnicalCommunication-TCO</v>
      </c>
      <c r="E234" t="s">
        <v>834</v>
      </c>
      <c r="F234" t="s">
        <v>527</v>
      </c>
      <c r="I234">
        <f t="shared" si="9"/>
        <v>0</v>
      </c>
      <c r="L234" s="9">
        <v>46058</v>
      </c>
      <c r="M234" s="9">
        <v>46063</v>
      </c>
      <c r="N234" s="18">
        <f t="shared" ca="1" si="10"/>
        <v>5</v>
      </c>
      <c r="O234" s="9">
        <v>46065</v>
      </c>
      <c r="P234" s="9" t="str">
        <f t="shared" si="11"/>
        <v>✅ Ja</v>
      </c>
      <c r="Q234" t="s">
        <v>836</v>
      </c>
      <c r="S234" t="s">
        <v>839</v>
      </c>
      <c r="T234" t="s">
        <v>540</v>
      </c>
      <c r="U234" s="2" t="s">
        <v>597</v>
      </c>
    </row>
    <row r="235" spans="2:21" ht="16.5" x14ac:dyDescent="0.3">
      <c r="B235" t="s">
        <v>120</v>
      </c>
      <c r="C235" t="s">
        <v>493</v>
      </c>
      <c r="D235" t="str">
        <f>IF(_xlfn.XLOOKUP(C235, ABZ!A:A, ABZ!B:B, "", 0) = 0, "", _xlfn.XLOOKUP(C235, ABZ!A:A, ABZ!B:B, "", 0))</f>
        <v>SUP-TechnicalCommunication-TCO</v>
      </c>
      <c r="E235" t="s">
        <v>834</v>
      </c>
      <c r="F235" t="s">
        <v>528</v>
      </c>
      <c r="I235">
        <f t="shared" si="9"/>
        <v>0</v>
      </c>
      <c r="L235" s="9">
        <v>46058</v>
      </c>
      <c r="M235" s="9">
        <v>46063</v>
      </c>
      <c r="N235" s="18">
        <f t="shared" ca="1" si="10"/>
        <v>5</v>
      </c>
      <c r="O235" s="9">
        <v>46065</v>
      </c>
      <c r="P235" s="9" t="str">
        <f t="shared" si="11"/>
        <v>✅ Ja</v>
      </c>
      <c r="Q235" t="s">
        <v>841</v>
      </c>
      <c r="S235" t="s">
        <v>839</v>
      </c>
      <c r="T235" t="s">
        <v>540</v>
      </c>
      <c r="U235" s="2" t="s">
        <v>597</v>
      </c>
    </row>
    <row r="236" spans="2:21" ht="16.5" x14ac:dyDescent="0.3">
      <c r="B236" t="s">
        <v>120</v>
      </c>
      <c r="C236" t="s">
        <v>493</v>
      </c>
      <c r="D236" t="str">
        <f>IF(_xlfn.XLOOKUP(C236, ABZ!A:A, ABZ!B:B, "", 0) = 0, "", _xlfn.XLOOKUP(C236, ABZ!A:A, ABZ!B:B, "", 0))</f>
        <v>SUP-TechnicalCommunication-TCO</v>
      </c>
      <c r="E236" t="s">
        <v>834</v>
      </c>
      <c r="F236" t="s">
        <v>530</v>
      </c>
      <c r="I236">
        <f t="shared" si="9"/>
        <v>0</v>
      </c>
      <c r="L236" s="9">
        <v>46058</v>
      </c>
      <c r="M236" s="9">
        <v>46063</v>
      </c>
      <c r="N236" s="18">
        <f t="shared" ca="1" si="10"/>
        <v>5</v>
      </c>
      <c r="O236" s="9">
        <v>46065</v>
      </c>
      <c r="P236" s="9" t="str">
        <f t="shared" si="11"/>
        <v>✅ Ja</v>
      </c>
      <c r="Q236" t="s">
        <v>844</v>
      </c>
      <c r="S236" t="s">
        <v>839</v>
      </c>
      <c r="T236" t="s">
        <v>540</v>
      </c>
      <c r="U236" s="2" t="s">
        <v>597</v>
      </c>
    </row>
    <row r="237" spans="2:21" ht="16.5" x14ac:dyDescent="0.3">
      <c r="B237" t="s">
        <v>120</v>
      </c>
      <c r="C237" t="s">
        <v>493</v>
      </c>
      <c r="D237" t="str">
        <f>IF(_xlfn.XLOOKUP(C237, ABZ!A:A, ABZ!B:B, "", 0) = 0, "", _xlfn.XLOOKUP(C237, ABZ!A:A, ABZ!B:B, "", 0))</f>
        <v>SUP-TechnicalCommunication-TCO</v>
      </c>
      <c r="E237" t="s">
        <v>834</v>
      </c>
      <c r="F237" t="s">
        <v>527</v>
      </c>
      <c r="I237">
        <f t="shared" si="9"/>
        <v>0</v>
      </c>
      <c r="L237" s="9">
        <v>46058</v>
      </c>
      <c r="M237" s="9"/>
      <c r="N237" s="18">
        <f t="shared" ca="1" si="10"/>
        <v>106</v>
      </c>
      <c r="O237" s="9">
        <v>46086</v>
      </c>
      <c r="P237" s="9" t="str">
        <f t="shared" si="11"/>
        <v>⏳ Offen</v>
      </c>
      <c r="Q237" t="s">
        <v>840</v>
      </c>
      <c r="S237" t="s">
        <v>839</v>
      </c>
      <c r="T237" t="s">
        <v>540</v>
      </c>
      <c r="U237" s="2"/>
    </row>
    <row r="238" spans="2:21" x14ac:dyDescent="0.25">
      <c r="B238" t="s">
        <v>120</v>
      </c>
      <c r="C238" t="s">
        <v>493</v>
      </c>
      <c r="D238" t="str">
        <f>IF(_xlfn.XLOOKUP(C238, ABZ!A:A, ABZ!B:B, "", 0) = 0, "", _xlfn.XLOOKUP(C238, ABZ!A:A, ABZ!B:B, "", 0))</f>
        <v>SUP-TechnicalCommunication-TCO</v>
      </c>
      <c r="E238" t="s">
        <v>834</v>
      </c>
      <c r="F238" t="s">
        <v>527</v>
      </c>
      <c r="I238">
        <f t="shared" si="9"/>
        <v>0</v>
      </c>
      <c r="L238" s="9">
        <v>46058</v>
      </c>
      <c r="M238" s="9">
        <v>46073</v>
      </c>
      <c r="N238" s="18">
        <f t="shared" ca="1" si="10"/>
        <v>15</v>
      </c>
      <c r="O238" s="9">
        <v>46073</v>
      </c>
      <c r="P238" s="9" t="str">
        <f t="shared" si="11"/>
        <v>✅ Ja</v>
      </c>
      <c r="Q238" t="s">
        <v>839</v>
      </c>
      <c r="S238" t="s">
        <v>839</v>
      </c>
      <c r="T238" t="s">
        <v>540</v>
      </c>
      <c r="U238" t="s">
        <v>598</v>
      </c>
    </row>
    <row r="239" spans="2:21" x14ac:dyDescent="0.25">
      <c r="B239" t="s">
        <v>120</v>
      </c>
      <c r="C239" t="s">
        <v>493</v>
      </c>
      <c r="D239" t="str">
        <f>IF(_xlfn.XLOOKUP(C239, ABZ!A:A, ABZ!B:B, "", 0) = 0, "", _xlfn.XLOOKUP(C239, ABZ!A:A, ABZ!B:B, "", 0))</f>
        <v>SUP-TechnicalCommunication-TCO</v>
      </c>
      <c r="E239" t="s">
        <v>834</v>
      </c>
      <c r="F239" t="s">
        <v>527</v>
      </c>
      <c r="I239">
        <f t="shared" si="9"/>
        <v>0</v>
      </c>
      <c r="L239" s="9">
        <v>46058</v>
      </c>
      <c r="M239" s="9">
        <v>46073</v>
      </c>
      <c r="N239" s="18">
        <f t="shared" ca="1" si="10"/>
        <v>15</v>
      </c>
      <c r="O239" s="9">
        <v>46073</v>
      </c>
      <c r="P239" s="9" t="str">
        <f t="shared" si="11"/>
        <v>✅ Ja</v>
      </c>
      <c r="Q239" t="s">
        <v>839</v>
      </c>
      <c r="S239" t="s">
        <v>839</v>
      </c>
      <c r="T239" t="s">
        <v>540</v>
      </c>
      <c r="U239" t="s">
        <v>599</v>
      </c>
    </row>
    <row r="240" spans="2:21" x14ac:dyDescent="0.25">
      <c r="B240" t="s">
        <v>120</v>
      </c>
      <c r="C240" t="s">
        <v>493</v>
      </c>
      <c r="D240" t="str">
        <f>IF(_xlfn.XLOOKUP(C240, ABZ!A:A, ABZ!B:B, "", 0) = 0, "", _xlfn.XLOOKUP(C240, ABZ!A:A, ABZ!B:B, "", 0))</f>
        <v>SUP-TechnicalCommunication-TCO</v>
      </c>
      <c r="E240" t="s">
        <v>834</v>
      </c>
      <c r="F240" t="s">
        <v>527</v>
      </c>
      <c r="I240">
        <f t="shared" si="9"/>
        <v>0</v>
      </c>
      <c r="L240" s="9">
        <v>46058</v>
      </c>
      <c r="M240" s="9"/>
      <c r="N240" s="18">
        <f t="shared" ca="1" si="10"/>
        <v>106</v>
      </c>
      <c r="O240" s="9">
        <v>46086</v>
      </c>
      <c r="P240" s="9" t="str">
        <f t="shared" si="11"/>
        <v>⏳ Offen</v>
      </c>
      <c r="Q240" t="s">
        <v>840</v>
      </c>
      <c r="S240" t="s">
        <v>839</v>
      </c>
      <c r="T240" t="s">
        <v>540</v>
      </c>
    </row>
    <row r="241" spans="2:21" x14ac:dyDescent="0.25">
      <c r="B241" t="s">
        <v>121</v>
      </c>
      <c r="C241" t="s">
        <v>493</v>
      </c>
      <c r="D241" t="str">
        <f>IF(_xlfn.XLOOKUP(C241, ABZ!A:A, ABZ!B:B, "", 0) = 0, "", _xlfn.XLOOKUP(C241, ABZ!A:A, ABZ!B:B, "", 0))</f>
        <v>SUP-TechnicalCommunication-TCO</v>
      </c>
      <c r="E241" t="s">
        <v>834</v>
      </c>
      <c r="F241" t="s">
        <v>529</v>
      </c>
      <c r="I241">
        <f t="shared" si="9"/>
        <v>0</v>
      </c>
      <c r="L241" s="9">
        <v>46058</v>
      </c>
      <c r="M241" s="9">
        <v>46063</v>
      </c>
      <c r="N241" s="18">
        <f t="shared" ca="1" si="10"/>
        <v>5</v>
      </c>
      <c r="O241" s="9">
        <v>46063</v>
      </c>
      <c r="P241" s="9" t="str">
        <f t="shared" si="11"/>
        <v>✅ Ja</v>
      </c>
      <c r="Q241" t="s">
        <v>837</v>
      </c>
      <c r="S241" t="s">
        <v>839</v>
      </c>
      <c r="T241" t="s">
        <v>540</v>
      </c>
      <c r="U241" t="s">
        <v>600</v>
      </c>
    </row>
    <row r="242" spans="2:21" x14ac:dyDescent="0.25">
      <c r="B242" t="s">
        <v>121</v>
      </c>
      <c r="C242" t="s">
        <v>493</v>
      </c>
      <c r="D242" t="str">
        <f>IF(_xlfn.XLOOKUP(C242, ABZ!A:A, ABZ!B:B, "", 0) = 0, "", _xlfn.XLOOKUP(C242, ABZ!A:A, ABZ!B:B, "", 0))</f>
        <v>SUP-TechnicalCommunication-TCO</v>
      </c>
      <c r="E242" t="s">
        <v>834</v>
      </c>
      <c r="F242" t="s">
        <v>527</v>
      </c>
      <c r="I242">
        <f t="shared" si="9"/>
        <v>0</v>
      </c>
      <c r="L242" s="9">
        <v>46058</v>
      </c>
      <c r="M242" s="9">
        <v>46063</v>
      </c>
      <c r="N242" s="18">
        <f t="shared" ca="1" si="10"/>
        <v>5</v>
      </c>
      <c r="O242" s="9">
        <v>46063</v>
      </c>
      <c r="P242" s="9" t="str">
        <f t="shared" si="11"/>
        <v>✅ Ja</v>
      </c>
      <c r="Q242" t="s">
        <v>843</v>
      </c>
      <c r="S242" t="s">
        <v>839</v>
      </c>
      <c r="T242" t="s">
        <v>540</v>
      </c>
      <c r="U242" t="s">
        <v>600</v>
      </c>
    </row>
    <row r="243" spans="2:21" x14ac:dyDescent="0.25">
      <c r="B243" t="s">
        <v>121</v>
      </c>
      <c r="C243" t="s">
        <v>493</v>
      </c>
      <c r="D243" t="str">
        <f>IF(_xlfn.XLOOKUP(C243, ABZ!A:A, ABZ!B:B, "", 0) = 0, "", _xlfn.XLOOKUP(C243, ABZ!A:A, ABZ!B:B, "", 0))</f>
        <v>SUP-TechnicalCommunication-TCO</v>
      </c>
      <c r="E243" t="s">
        <v>834</v>
      </c>
      <c r="F243" t="s">
        <v>527</v>
      </c>
      <c r="I243">
        <f t="shared" si="9"/>
        <v>0</v>
      </c>
      <c r="L243" s="9">
        <v>46058</v>
      </c>
      <c r="M243" s="9">
        <v>46063</v>
      </c>
      <c r="N243" s="18">
        <f t="shared" ca="1" si="10"/>
        <v>5</v>
      </c>
      <c r="O243" s="9">
        <v>46063</v>
      </c>
      <c r="P243" s="9" t="str">
        <f t="shared" si="11"/>
        <v>✅ Ja</v>
      </c>
      <c r="Q243" t="s">
        <v>836</v>
      </c>
      <c r="S243" t="s">
        <v>839</v>
      </c>
      <c r="T243" t="s">
        <v>540</v>
      </c>
      <c r="U243" t="s">
        <v>600</v>
      </c>
    </row>
    <row r="244" spans="2:21" x14ac:dyDescent="0.25">
      <c r="B244" t="s">
        <v>121</v>
      </c>
      <c r="C244" t="s">
        <v>493</v>
      </c>
      <c r="D244" t="str">
        <f>IF(_xlfn.XLOOKUP(C244, ABZ!A:A, ABZ!B:B, "", 0) = 0, "", _xlfn.XLOOKUP(C244, ABZ!A:A, ABZ!B:B, "", 0))</f>
        <v>SUP-TechnicalCommunication-TCO</v>
      </c>
      <c r="E244" t="s">
        <v>834</v>
      </c>
      <c r="F244" t="s">
        <v>528</v>
      </c>
      <c r="I244">
        <f t="shared" si="9"/>
        <v>0</v>
      </c>
      <c r="L244" s="9">
        <v>46058</v>
      </c>
      <c r="M244" s="9">
        <v>46063</v>
      </c>
      <c r="N244" s="18">
        <f t="shared" ca="1" si="10"/>
        <v>5</v>
      </c>
      <c r="O244" s="9">
        <v>46063</v>
      </c>
      <c r="P244" s="9" t="str">
        <f t="shared" si="11"/>
        <v>✅ Ja</v>
      </c>
      <c r="Q244" t="s">
        <v>841</v>
      </c>
      <c r="S244" t="s">
        <v>839</v>
      </c>
      <c r="T244" t="s">
        <v>540</v>
      </c>
      <c r="U244" t="s">
        <v>600</v>
      </c>
    </row>
    <row r="245" spans="2:21" x14ac:dyDescent="0.25">
      <c r="B245" t="s">
        <v>121</v>
      </c>
      <c r="C245" t="s">
        <v>493</v>
      </c>
      <c r="D245" t="str">
        <f>IF(_xlfn.XLOOKUP(C245, ABZ!A:A, ABZ!B:B, "", 0) = 0, "", _xlfn.XLOOKUP(C245, ABZ!A:A, ABZ!B:B, "", 0))</f>
        <v>SUP-TechnicalCommunication-TCO</v>
      </c>
      <c r="E245" t="s">
        <v>834</v>
      </c>
      <c r="F245" t="s">
        <v>530</v>
      </c>
      <c r="I245">
        <f t="shared" si="9"/>
        <v>0</v>
      </c>
      <c r="L245" s="9">
        <v>46058</v>
      </c>
      <c r="M245" s="9">
        <v>46063</v>
      </c>
      <c r="N245" s="18">
        <f t="shared" ca="1" si="10"/>
        <v>5</v>
      </c>
      <c r="O245" s="9">
        <v>46063</v>
      </c>
      <c r="P245" s="9" t="str">
        <f t="shared" si="11"/>
        <v>✅ Ja</v>
      </c>
      <c r="Q245" t="s">
        <v>844</v>
      </c>
      <c r="S245" t="s">
        <v>839</v>
      </c>
      <c r="T245" t="s">
        <v>540</v>
      </c>
      <c r="U245" t="s">
        <v>600</v>
      </c>
    </row>
    <row r="246" spans="2:21" x14ac:dyDescent="0.25">
      <c r="B246" t="s">
        <v>121</v>
      </c>
      <c r="C246" t="s">
        <v>493</v>
      </c>
      <c r="D246" t="str">
        <f>IF(_xlfn.XLOOKUP(C246, ABZ!A:A, ABZ!B:B, "", 0) = 0, "", _xlfn.XLOOKUP(C246, ABZ!A:A, ABZ!B:B, "", 0))</f>
        <v>SUP-TechnicalCommunication-TCO</v>
      </c>
      <c r="E246" t="s">
        <v>834</v>
      </c>
      <c r="F246" t="s">
        <v>527</v>
      </c>
      <c r="I246">
        <f t="shared" si="9"/>
        <v>0</v>
      </c>
      <c r="L246" s="9">
        <v>46058</v>
      </c>
      <c r="M246" s="9">
        <v>46063</v>
      </c>
      <c r="N246" s="18">
        <f t="shared" ca="1" si="10"/>
        <v>5</v>
      </c>
      <c r="O246" s="9">
        <v>46063</v>
      </c>
      <c r="P246" s="9" t="str">
        <f t="shared" si="11"/>
        <v>✅ Ja</v>
      </c>
      <c r="Q246" t="s">
        <v>840</v>
      </c>
      <c r="S246" t="s">
        <v>839</v>
      </c>
      <c r="T246" t="s">
        <v>540</v>
      </c>
    </row>
    <row r="247" spans="2:21" x14ac:dyDescent="0.25">
      <c r="B247" t="s">
        <v>121</v>
      </c>
      <c r="C247" t="s">
        <v>493</v>
      </c>
      <c r="D247" t="str">
        <f>IF(_xlfn.XLOOKUP(C247, ABZ!A:A, ABZ!B:B, "", 0) = 0, "", _xlfn.XLOOKUP(C247, ABZ!A:A, ABZ!B:B, "", 0))</f>
        <v>SUP-TechnicalCommunication-TCO</v>
      </c>
      <c r="E247" t="s">
        <v>834</v>
      </c>
      <c r="F247" t="s">
        <v>527</v>
      </c>
      <c r="I247">
        <f t="shared" si="9"/>
        <v>0</v>
      </c>
      <c r="L247" s="9">
        <v>46058</v>
      </c>
      <c r="M247" s="9">
        <v>46073</v>
      </c>
      <c r="N247" s="18">
        <f t="shared" ca="1" si="10"/>
        <v>15</v>
      </c>
      <c r="O247" s="9">
        <v>46073</v>
      </c>
      <c r="P247" s="9" t="str">
        <f t="shared" si="11"/>
        <v>✅ Ja</v>
      </c>
      <c r="Q247" t="s">
        <v>839</v>
      </c>
      <c r="S247" t="s">
        <v>839</v>
      </c>
      <c r="T247" t="s">
        <v>540</v>
      </c>
    </row>
    <row r="248" spans="2:21" x14ac:dyDescent="0.25">
      <c r="B248" t="s">
        <v>121</v>
      </c>
      <c r="C248" t="s">
        <v>493</v>
      </c>
      <c r="D248" t="str">
        <f>IF(_xlfn.XLOOKUP(C248, ABZ!A:A, ABZ!B:B, "", 0) = 0, "", _xlfn.XLOOKUP(C248, ABZ!A:A, ABZ!B:B, "", 0))</f>
        <v>SUP-TechnicalCommunication-TCO</v>
      </c>
      <c r="E248" t="s">
        <v>834</v>
      </c>
      <c r="F248" t="s">
        <v>527</v>
      </c>
      <c r="I248">
        <f t="shared" si="9"/>
        <v>0</v>
      </c>
      <c r="L248" s="9">
        <v>46058</v>
      </c>
      <c r="M248" s="9">
        <v>46073</v>
      </c>
      <c r="N248" s="18">
        <f t="shared" ca="1" si="10"/>
        <v>15</v>
      </c>
      <c r="O248" s="9">
        <v>46073</v>
      </c>
      <c r="P248" s="9" t="str">
        <f t="shared" si="11"/>
        <v>✅ Ja</v>
      </c>
      <c r="Q248" t="s">
        <v>839</v>
      </c>
      <c r="S248" t="s">
        <v>839</v>
      </c>
      <c r="T248" t="s">
        <v>540</v>
      </c>
    </row>
    <row r="249" spans="2:21" x14ac:dyDescent="0.25">
      <c r="B249" t="s">
        <v>121</v>
      </c>
      <c r="C249" t="s">
        <v>493</v>
      </c>
      <c r="D249" t="str">
        <f>IF(_xlfn.XLOOKUP(C249, ABZ!A:A, ABZ!B:B, "", 0) = 0, "", _xlfn.XLOOKUP(C249, ABZ!A:A, ABZ!B:B, "", 0))</f>
        <v>SUP-TechnicalCommunication-TCO</v>
      </c>
      <c r="E249" t="s">
        <v>834</v>
      </c>
      <c r="F249" t="s">
        <v>527</v>
      </c>
      <c r="I249">
        <f t="shared" si="9"/>
        <v>0</v>
      </c>
      <c r="L249" s="9">
        <v>46058</v>
      </c>
      <c r="M249" s="9"/>
      <c r="N249" s="18">
        <f t="shared" ca="1" si="10"/>
        <v>106</v>
      </c>
      <c r="O249" s="9">
        <v>46086</v>
      </c>
      <c r="P249" s="9" t="str">
        <f t="shared" si="11"/>
        <v>⏳ Offen</v>
      </c>
      <c r="Q249" t="s">
        <v>840</v>
      </c>
      <c r="S249" t="s">
        <v>839</v>
      </c>
      <c r="T249" t="s">
        <v>540</v>
      </c>
    </row>
    <row r="250" spans="2:21" x14ac:dyDescent="0.25">
      <c r="B250" t="s">
        <v>122</v>
      </c>
      <c r="C250" t="s">
        <v>493</v>
      </c>
      <c r="D250" t="str">
        <f>IF(_xlfn.XLOOKUP(C250, ABZ!A:A, ABZ!B:B, "", 0) = 0, "", _xlfn.XLOOKUP(C250, ABZ!A:A, ABZ!B:B, "", 0))</f>
        <v>SUP-TechnicalCommunication-TCO</v>
      </c>
      <c r="E250" t="s">
        <v>834</v>
      </c>
      <c r="F250" t="s">
        <v>529</v>
      </c>
      <c r="I250">
        <f t="shared" si="9"/>
        <v>0</v>
      </c>
      <c r="L250" s="9">
        <v>46058</v>
      </c>
      <c r="M250" s="9">
        <v>46063</v>
      </c>
      <c r="N250" s="18">
        <f t="shared" ca="1" si="10"/>
        <v>5</v>
      </c>
      <c r="O250" s="9">
        <v>46063</v>
      </c>
      <c r="P250" s="9" t="str">
        <f t="shared" si="11"/>
        <v>✅ Ja</v>
      </c>
      <c r="Q250" t="s">
        <v>837</v>
      </c>
      <c r="S250" t="s">
        <v>840</v>
      </c>
      <c r="T250" t="s">
        <v>540</v>
      </c>
      <c r="U250" t="s">
        <v>601</v>
      </c>
    </row>
    <row r="251" spans="2:21" x14ac:dyDescent="0.25">
      <c r="B251" t="s">
        <v>122</v>
      </c>
      <c r="C251" t="s">
        <v>493</v>
      </c>
      <c r="D251" t="str">
        <f>IF(_xlfn.XLOOKUP(C251, ABZ!A:A, ABZ!B:B, "", 0) = 0, "", _xlfn.XLOOKUP(C251, ABZ!A:A, ABZ!B:B, "", 0))</f>
        <v>SUP-TechnicalCommunication-TCO</v>
      </c>
      <c r="E251" t="s">
        <v>834</v>
      </c>
      <c r="F251" t="s">
        <v>527</v>
      </c>
      <c r="I251">
        <f t="shared" si="9"/>
        <v>0</v>
      </c>
      <c r="L251" s="9">
        <v>46058</v>
      </c>
      <c r="M251" s="9">
        <v>46063</v>
      </c>
      <c r="N251" s="18">
        <f t="shared" ca="1" si="10"/>
        <v>5</v>
      </c>
      <c r="O251" s="9">
        <v>46063</v>
      </c>
      <c r="P251" s="9" t="str">
        <f t="shared" si="11"/>
        <v>✅ Ja</v>
      </c>
      <c r="Q251" t="s">
        <v>843</v>
      </c>
      <c r="S251" t="s">
        <v>840</v>
      </c>
      <c r="T251" t="s">
        <v>540</v>
      </c>
      <c r="U251" t="s">
        <v>601</v>
      </c>
    </row>
    <row r="252" spans="2:21" x14ac:dyDescent="0.25">
      <c r="B252" t="s">
        <v>122</v>
      </c>
      <c r="C252" t="s">
        <v>493</v>
      </c>
      <c r="D252" t="str">
        <f>IF(_xlfn.XLOOKUP(C252, ABZ!A:A, ABZ!B:B, "", 0) = 0, "", _xlfn.XLOOKUP(C252, ABZ!A:A, ABZ!B:B, "", 0))</f>
        <v>SUP-TechnicalCommunication-TCO</v>
      </c>
      <c r="E252" t="s">
        <v>834</v>
      </c>
      <c r="F252" t="s">
        <v>527</v>
      </c>
      <c r="I252">
        <f t="shared" si="9"/>
        <v>0</v>
      </c>
      <c r="L252" s="9">
        <v>46058</v>
      </c>
      <c r="M252" s="9">
        <v>46063</v>
      </c>
      <c r="N252" s="18">
        <f t="shared" ca="1" si="10"/>
        <v>5</v>
      </c>
      <c r="O252" s="9">
        <v>46063</v>
      </c>
      <c r="P252" s="9" t="str">
        <f t="shared" si="11"/>
        <v>✅ Ja</v>
      </c>
      <c r="Q252" t="s">
        <v>836</v>
      </c>
      <c r="S252" t="s">
        <v>840</v>
      </c>
      <c r="T252" t="s">
        <v>540</v>
      </c>
      <c r="U252" t="s">
        <v>601</v>
      </c>
    </row>
    <row r="253" spans="2:21" x14ac:dyDescent="0.25">
      <c r="B253" t="s">
        <v>122</v>
      </c>
      <c r="C253" t="s">
        <v>493</v>
      </c>
      <c r="D253" t="str">
        <f>IF(_xlfn.XLOOKUP(C253, ABZ!A:A, ABZ!B:B, "", 0) = 0, "", _xlfn.XLOOKUP(C253, ABZ!A:A, ABZ!B:B, "", 0))</f>
        <v>SUP-TechnicalCommunication-TCO</v>
      </c>
      <c r="E253" t="s">
        <v>834</v>
      </c>
      <c r="F253" t="s">
        <v>528</v>
      </c>
      <c r="I253">
        <f t="shared" si="9"/>
        <v>0</v>
      </c>
      <c r="L253" s="9">
        <v>46058</v>
      </c>
      <c r="M253" s="9">
        <v>46063</v>
      </c>
      <c r="N253" s="18">
        <f t="shared" ca="1" si="10"/>
        <v>5</v>
      </c>
      <c r="O253" s="9">
        <v>46063</v>
      </c>
      <c r="P253" s="9" t="str">
        <f t="shared" si="11"/>
        <v>✅ Ja</v>
      </c>
      <c r="Q253" t="s">
        <v>841</v>
      </c>
      <c r="S253" t="s">
        <v>840</v>
      </c>
      <c r="T253" t="s">
        <v>540</v>
      </c>
      <c r="U253" t="s">
        <v>601</v>
      </c>
    </row>
    <row r="254" spans="2:21" x14ac:dyDescent="0.25">
      <c r="B254" t="s">
        <v>122</v>
      </c>
      <c r="C254" t="s">
        <v>493</v>
      </c>
      <c r="D254" t="str">
        <f>IF(_xlfn.XLOOKUP(C254, ABZ!A:A, ABZ!B:B, "", 0) = 0, "", _xlfn.XLOOKUP(C254, ABZ!A:A, ABZ!B:B, "", 0))</f>
        <v>SUP-TechnicalCommunication-TCO</v>
      </c>
      <c r="E254" t="s">
        <v>834</v>
      </c>
      <c r="F254" t="s">
        <v>530</v>
      </c>
      <c r="I254">
        <f t="shared" si="9"/>
        <v>0</v>
      </c>
      <c r="L254" s="9">
        <v>46058</v>
      </c>
      <c r="M254" s="9">
        <v>46063</v>
      </c>
      <c r="N254" s="18">
        <f t="shared" ca="1" si="10"/>
        <v>5</v>
      </c>
      <c r="O254" s="9">
        <v>46063</v>
      </c>
      <c r="P254" s="9" t="str">
        <f t="shared" si="11"/>
        <v>✅ Ja</v>
      </c>
      <c r="Q254" t="s">
        <v>844</v>
      </c>
      <c r="S254" t="s">
        <v>840</v>
      </c>
      <c r="T254" t="s">
        <v>540</v>
      </c>
      <c r="U254" t="s">
        <v>601</v>
      </c>
    </row>
    <row r="255" spans="2:21" x14ac:dyDescent="0.25">
      <c r="B255" t="s">
        <v>122</v>
      </c>
      <c r="C255" t="s">
        <v>493</v>
      </c>
      <c r="D255" t="str">
        <f>IF(_xlfn.XLOOKUP(C255, ABZ!A:A, ABZ!B:B, "", 0) = 0, "", _xlfn.XLOOKUP(C255, ABZ!A:A, ABZ!B:B, "", 0))</f>
        <v>SUP-TechnicalCommunication-TCO</v>
      </c>
      <c r="E255" t="s">
        <v>834</v>
      </c>
      <c r="F255" t="s">
        <v>527</v>
      </c>
      <c r="I255">
        <f t="shared" si="9"/>
        <v>0</v>
      </c>
      <c r="L255" s="9">
        <v>46058</v>
      </c>
      <c r="M255" s="9"/>
      <c r="N255" s="18">
        <f t="shared" ca="1" si="10"/>
        <v>106</v>
      </c>
      <c r="O255" s="9">
        <v>46086</v>
      </c>
      <c r="P255" s="9" t="str">
        <f t="shared" si="11"/>
        <v>⏳ Offen</v>
      </c>
      <c r="Q255" t="s">
        <v>840</v>
      </c>
      <c r="S255" t="s">
        <v>840</v>
      </c>
      <c r="T255" t="s">
        <v>540</v>
      </c>
    </row>
    <row r="256" spans="2:21" x14ac:dyDescent="0.25">
      <c r="B256" t="s">
        <v>122</v>
      </c>
      <c r="C256" t="s">
        <v>493</v>
      </c>
      <c r="D256" t="str">
        <f>IF(_xlfn.XLOOKUP(C256, ABZ!A:A, ABZ!B:B, "", 0) = 0, "", _xlfn.XLOOKUP(C256, ABZ!A:A, ABZ!B:B, "", 0))</f>
        <v>SUP-TechnicalCommunication-TCO</v>
      </c>
      <c r="E256" t="s">
        <v>834</v>
      </c>
      <c r="F256" t="s">
        <v>527</v>
      </c>
      <c r="I256">
        <f t="shared" si="9"/>
        <v>0</v>
      </c>
      <c r="L256" s="9">
        <v>46058</v>
      </c>
      <c r="M256" s="9">
        <v>46075</v>
      </c>
      <c r="N256" s="18">
        <f t="shared" ca="1" si="10"/>
        <v>17</v>
      </c>
      <c r="O256" s="9">
        <v>46073</v>
      </c>
      <c r="P256" s="9" t="str">
        <f t="shared" si="11"/>
        <v>❌ Nein</v>
      </c>
      <c r="Q256" t="s">
        <v>839</v>
      </c>
      <c r="S256" t="s">
        <v>840</v>
      </c>
      <c r="T256" t="s">
        <v>540</v>
      </c>
    </row>
    <row r="257" spans="2:21" x14ac:dyDescent="0.25">
      <c r="B257" t="s">
        <v>122</v>
      </c>
      <c r="C257" t="s">
        <v>493</v>
      </c>
      <c r="D257" t="str">
        <f>IF(_xlfn.XLOOKUP(C257, ABZ!A:A, ABZ!B:B, "", 0) = 0, "", _xlfn.XLOOKUP(C257, ABZ!A:A, ABZ!B:B, "", 0))</f>
        <v>SUP-TechnicalCommunication-TCO</v>
      </c>
      <c r="E257" t="s">
        <v>834</v>
      </c>
      <c r="F257" t="s">
        <v>527</v>
      </c>
      <c r="I257">
        <f t="shared" si="9"/>
        <v>0</v>
      </c>
      <c r="L257" s="9">
        <v>46058</v>
      </c>
      <c r="M257" s="9">
        <v>46075</v>
      </c>
      <c r="N257" s="18">
        <f t="shared" ca="1" si="10"/>
        <v>17</v>
      </c>
      <c r="O257" s="9">
        <v>46073</v>
      </c>
      <c r="P257" s="9" t="str">
        <f t="shared" si="11"/>
        <v>❌ Nein</v>
      </c>
      <c r="Q257" t="s">
        <v>839</v>
      </c>
      <c r="S257" t="s">
        <v>840</v>
      </c>
      <c r="T257" t="s">
        <v>540</v>
      </c>
    </row>
    <row r="258" spans="2:21" x14ac:dyDescent="0.25">
      <c r="B258" t="s">
        <v>122</v>
      </c>
      <c r="C258" t="s">
        <v>493</v>
      </c>
      <c r="D258" t="str">
        <f>IF(_xlfn.XLOOKUP(C258, ABZ!A:A, ABZ!B:B, "", 0) = 0, "", _xlfn.XLOOKUP(C258, ABZ!A:A, ABZ!B:B, "", 0))</f>
        <v>SUP-TechnicalCommunication-TCO</v>
      </c>
      <c r="E258" t="s">
        <v>834</v>
      </c>
      <c r="F258" t="s">
        <v>527</v>
      </c>
      <c r="I258">
        <f t="shared" si="9"/>
        <v>0</v>
      </c>
      <c r="L258" s="9">
        <v>46058</v>
      </c>
      <c r="M258" s="9"/>
      <c r="N258" s="18">
        <f t="shared" ca="1" si="10"/>
        <v>106</v>
      </c>
      <c r="O258" s="9">
        <v>46086</v>
      </c>
      <c r="P258" s="9" t="str">
        <f t="shared" si="11"/>
        <v>⏳ Offen</v>
      </c>
      <c r="Q258" t="s">
        <v>840</v>
      </c>
      <c r="S258" t="s">
        <v>840</v>
      </c>
      <c r="T258" t="s">
        <v>540</v>
      </c>
    </row>
    <row r="259" spans="2:21" x14ac:dyDescent="0.25">
      <c r="B259" t="s">
        <v>123</v>
      </c>
      <c r="C259" t="s">
        <v>493</v>
      </c>
      <c r="D259" t="str">
        <f>IF(_xlfn.XLOOKUP(C259, ABZ!A:A, ABZ!B:B, "", 0) = 0, "", _xlfn.XLOOKUP(C259, ABZ!A:A, ABZ!B:B, "", 0))</f>
        <v>SUP-TechnicalCommunication-TCO</v>
      </c>
      <c r="E259" t="s">
        <v>834</v>
      </c>
      <c r="F259" t="s">
        <v>529</v>
      </c>
      <c r="I259">
        <f t="shared" ref="I259:I322" si="12">IF(AND(O259&lt;&gt;"",L259&lt;&gt;""),IF((O259-L259)&lt;=2,1,0),0)</f>
        <v>0</v>
      </c>
      <c r="L259" s="9">
        <v>46058</v>
      </c>
      <c r="M259" s="9">
        <v>46063</v>
      </c>
      <c r="N259" s="18">
        <f t="shared" ref="N259:N322" ca="1" si="13">IF(M259&lt;&gt;"",M259-L259,TODAY()-L259)</f>
        <v>5</v>
      </c>
      <c r="O259" s="9">
        <v>46064</v>
      </c>
      <c r="P259" s="9" t="str">
        <f t="shared" ref="P259:P322" si="14">IF(M259="","⏳ Offen",IF(M259&lt;=O259,"✅ Ja","❌ Nein"))</f>
        <v>✅ Ja</v>
      </c>
      <c r="Q259" t="s">
        <v>837</v>
      </c>
      <c r="S259" t="s">
        <v>839</v>
      </c>
      <c r="T259" t="s">
        <v>540</v>
      </c>
      <c r="U259" t="s">
        <v>602</v>
      </c>
    </row>
    <row r="260" spans="2:21" x14ac:dyDescent="0.25">
      <c r="B260" t="s">
        <v>123</v>
      </c>
      <c r="C260" t="s">
        <v>493</v>
      </c>
      <c r="D260" t="str">
        <f>IF(_xlfn.XLOOKUP(C260, ABZ!A:A, ABZ!B:B, "", 0) = 0, "", _xlfn.XLOOKUP(C260, ABZ!A:A, ABZ!B:B, "", 0))</f>
        <v>SUP-TechnicalCommunication-TCO</v>
      </c>
      <c r="E260" t="s">
        <v>834</v>
      </c>
      <c r="F260" t="s">
        <v>527</v>
      </c>
      <c r="I260">
        <f t="shared" si="12"/>
        <v>0</v>
      </c>
      <c r="L260" s="9">
        <v>46058</v>
      </c>
      <c r="M260" s="9">
        <v>46063</v>
      </c>
      <c r="N260" s="18">
        <f t="shared" ca="1" si="13"/>
        <v>5</v>
      </c>
      <c r="O260" s="9">
        <v>46064</v>
      </c>
      <c r="P260" s="9" t="str">
        <f t="shared" si="14"/>
        <v>✅ Ja</v>
      </c>
      <c r="Q260" t="s">
        <v>843</v>
      </c>
      <c r="S260" t="s">
        <v>839</v>
      </c>
      <c r="T260" t="s">
        <v>540</v>
      </c>
      <c r="U260" t="s">
        <v>602</v>
      </c>
    </row>
    <row r="261" spans="2:21" x14ac:dyDescent="0.25">
      <c r="B261" t="s">
        <v>123</v>
      </c>
      <c r="C261" t="s">
        <v>493</v>
      </c>
      <c r="D261" t="str">
        <f>IF(_xlfn.XLOOKUP(C261, ABZ!A:A, ABZ!B:B, "", 0) = 0, "", _xlfn.XLOOKUP(C261, ABZ!A:A, ABZ!B:B, "", 0))</f>
        <v>SUP-TechnicalCommunication-TCO</v>
      </c>
      <c r="E261" t="s">
        <v>834</v>
      </c>
      <c r="F261" t="s">
        <v>527</v>
      </c>
      <c r="I261">
        <f t="shared" si="12"/>
        <v>0</v>
      </c>
      <c r="L261" s="9">
        <v>46058</v>
      </c>
      <c r="M261" s="9">
        <v>46063</v>
      </c>
      <c r="N261" s="18">
        <f t="shared" ca="1" si="13"/>
        <v>5</v>
      </c>
      <c r="O261" s="9">
        <v>46064</v>
      </c>
      <c r="P261" s="9" t="str">
        <f t="shared" si="14"/>
        <v>✅ Ja</v>
      </c>
      <c r="Q261" t="s">
        <v>836</v>
      </c>
      <c r="S261" t="s">
        <v>839</v>
      </c>
      <c r="T261" t="s">
        <v>540</v>
      </c>
      <c r="U261" t="s">
        <v>602</v>
      </c>
    </row>
    <row r="262" spans="2:21" x14ac:dyDescent="0.25">
      <c r="B262" t="s">
        <v>123</v>
      </c>
      <c r="C262" t="s">
        <v>493</v>
      </c>
      <c r="D262" t="str">
        <f>IF(_xlfn.XLOOKUP(C262, ABZ!A:A, ABZ!B:B, "", 0) = 0, "", _xlfn.XLOOKUP(C262, ABZ!A:A, ABZ!B:B, "", 0))</f>
        <v>SUP-TechnicalCommunication-TCO</v>
      </c>
      <c r="E262" t="s">
        <v>834</v>
      </c>
      <c r="F262" t="s">
        <v>528</v>
      </c>
      <c r="I262">
        <f t="shared" si="12"/>
        <v>0</v>
      </c>
      <c r="L262" s="9">
        <v>46058</v>
      </c>
      <c r="M262" s="9">
        <v>46063</v>
      </c>
      <c r="N262" s="18">
        <f t="shared" ca="1" si="13"/>
        <v>5</v>
      </c>
      <c r="O262" s="9">
        <v>46064</v>
      </c>
      <c r="P262" s="9" t="str">
        <f t="shared" si="14"/>
        <v>✅ Ja</v>
      </c>
      <c r="Q262" t="s">
        <v>841</v>
      </c>
      <c r="S262" t="s">
        <v>839</v>
      </c>
      <c r="T262" t="s">
        <v>540</v>
      </c>
      <c r="U262" t="s">
        <v>602</v>
      </c>
    </row>
    <row r="263" spans="2:21" x14ac:dyDescent="0.25">
      <c r="B263" t="s">
        <v>123</v>
      </c>
      <c r="C263" t="s">
        <v>493</v>
      </c>
      <c r="D263" t="str">
        <f>IF(_xlfn.XLOOKUP(C263, ABZ!A:A, ABZ!B:B, "", 0) = 0, "", _xlfn.XLOOKUP(C263, ABZ!A:A, ABZ!B:B, "", 0))</f>
        <v>SUP-TechnicalCommunication-TCO</v>
      </c>
      <c r="E263" t="s">
        <v>834</v>
      </c>
      <c r="F263" t="s">
        <v>530</v>
      </c>
      <c r="I263">
        <f t="shared" si="12"/>
        <v>0</v>
      </c>
      <c r="L263" s="9">
        <v>46058</v>
      </c>
      <c r="M263" s="9">
        <v>46063</v>
      </c>
      <c r="N263" s="18">
        <f t="shared" ca="1" si="13"/>
        <v>5</v>
      </c>
      <c r="O263" s="9">
        <v>46064</v>
      </c>
      <c r="P263" s="9" t="str">
        <f t="shared" si="14"/>
        <v>✅ Ja</v>
      </c>
      <c r="Q263" t="s">
        <v>844</v>
      </c>
      <c r="S263" t="s">
        <v>839</v>
      </c>
      <c r="T263" t="s">
        <v>540</v>
      </c>
      <c r="U263" t="s">
        <v>602</v>
      </c>
    </row>
    <row r="264" spans="2:21" x14ac:dyDescent="0.25">
      <c r="B264" t="s">
        <v>123</v>
      </c>
      <c r="C264" t="s">
        <v>493</v>
      </c>
      <c r="D264" t="str">
        <f>IF(_xlfn.XLOOKUP(C264, ABZ!A:A, ABZ!B:B, "", 0) = 0, "", _xlfn.XLOOKUP(C264, ABZ!A:A, ABZ!B:B, "", 0))</f>
        <v>SUP-TechnicalCommunication-TCO</v>
      </c>
      <c r="E264" t="s">
        <v>834</v>
      </c>
      <c r="F264" t="s">
        <v>527</v>
      </c>
      <c r="I264">
        <f t="shared" si="12"/>
        <v>0</v>
      </c>
      <c r="K264" s="16"/>
      <c r="L264" s="9">
        <v>46058</v>
      </c>
      <c r="M264" s="9"/>
      <c r="N264" s="18">
        <f t="shared" ca="1" si="13"/>
        <v>106</v>
      </c>
      <c r="O264" s="9">
        <v>46086</v>
      </c>
      <c r="P264" s="9" t="str">
        <f t="shared" si="14"/>
        <v>⏳ Offen</v>
      </c>
      <c r="Q264" t="s">
        <v>840</v>
      </c>
      <c r="S264" t="s">
        <v>839</v>
      </c>
      <c r="T264" t="s">
        <v>540</v>
      </c>
    </row>
    <row r="265" spans="2:21" x14ac:dyDescent="0.25">
      <c r="B265" t="s">
        <v>123</v>
      </c>
      <c r="C265" t="s">
        <v>493</v>
      </c>
      <c r="D265" t="str">
        <f>IF(_xlfn.XLOOKUP(C265, ABZ!A:A, ABZ!B:B, "", 0) = 0, "", _xlfn.XLOOKUP(C265, ABZ!A:A, ABZ!B:B, "", 0))</f>
        <v>SUP-TechnicalCommunication-TCO</v>
      </c>
      <c r="E265" t="s">
        <v>834</v>
      </c>
      <c r="F265" t="s">
        <v>527</v>
      </c>
      <c r="I265">
        <f t="shared" si="12"/>
        <v>0</v>
      </c>
      <c r="K265" s="16"/>
      <c r="L265" s="9">
        <v>46058</v>
      </c>
      <c r="M265" s="9">
        <v>46075</v>
      </c>
      <c r="N265" s="18">
        <f t="shared" ca="1" si="13"/>
        <v>17</v>
      </c>
      <c r="O265" s="9">
        <v>46073</v>
      </c>
      <c r="P265" s="9" t="str">
        <f t="shared" si="14"/>
        <v>❌ Nein</v>
      </c>
      <c r="Q265" t="s">
        <v>839</v>
      </c>
      <c r="S265" t="s">
        <v>839</v>
      </c>
      <c r="T265" t="s">
        <v>540</v>
      </c>
    </row>
    <row r="266" spans="2:21" x14ac:dyDescent="0.25">
      <c r="B266" t="s">
        <v>123</v>
      </c>
      <c r="C266" t="s">
        <v>493</v>
      </c>
      <c r="D266" t="str">
        <f>IF(_xlfn.XLOOKUP(C266, ABZ!A:A, ABZ!B:B, "", 0) = 0, "", _xlfn.XLOOKUP(C266, ABZ!A:A, ABZ!B:B, "", 0))</f>
        <v>SUP-TechnicalCommunication-TCO</v>
      </c>
      <c r="E266" t="s">
        <v>834</v>
      </c>
      <c r="F266" t="s">
        <v>527</v>
      </c>
      <c r="I266">
        <f t="shared" si="12"/>
        <v>0</v>
      </c>
      <c r="L266" s="9">
        <v>46058</v>
      </c>
      <c r="M266" s="9">
        <v>46075</v>
      </c>
      <c r="N266" s="18">
        <f t="shared" ca="1" si="13"/>
        <v>17</v>
      </c>
      <c r="O266" s="9">
        <v>46073</v>
      </c>
      <c r="P266" s="9" t="str">
        <f t="shared" si="14"/>
        <v>❌ Nein</v>
      </c>
      <c r="Q266" t="s">
        <v>839</v>
      </c>
      <c r="S266" t="s">
        <v>839</v>
      </c>
      <c r="T266" t="s">
        <v>540</v>
      </c>
    </row>
    <row r="267" spans="2:21" x14ac:dyDescent="0.25">
      <c r="B267" t="s">
        <v>123</v>
      </c>
      <c r="C267" t="s">
        <v>493</v>
      </c>
      <c r="D267" t="str">
        <f>IF(_xlfn.XLOOKUP(C267, ABZ!A:A, ABZ!B:B, "", 0) = 0, "", _xlfn.XLOOKUP(C267, ABZ!A:A, ABZ!B:B, "", 0))</f>
        <v>SUP-TechnicalCommunication-TCO</v>
      </c>
      <c r="E267" t="s">
        <v>834</v>
      </c>
      <c r="F267" t="s">
        <v>527</v>
      </c>
      <c r="I267">
        <f t="shared" si="12"/>
        <v>0</v>
      </c>
      <c r="L267" s="9">
        <v>46058</v>
      </c>
      <c r="M267" s="9"/>
      <c r="N267" s="18">
        <f t="shared" ca="1" si="13"/>
        <v>106</v>
      </c>
      <c r="O267" s="9">
        <v>46086</v>
      </c>
      <c r="P267" s="9" t="str">
        <f t="shared" si="14"/>
        <v>⏳ Offen</v>
      </c>
      <c r="Q267" t="s">
        <v>840</v>
      </c>
      <c r="S267" t="s">
        <v>840</v>
      </c>
      <c r="T267" t="s">
        <v>540</v>
      </c>
    </row>
    <row r="268" spans="2:21" x14ac:dyDescent="0.25">
      <c r="B268" t="s">
        <v>124</v>
      </c>
      <c r="C268" t="s">
        <v>493</v>
      </c>
      <c r="D268" t="str">
        <f>IF(_xlfn.XLOOKUP(C268, ABZ!A:A, ABZ!B:B, "", 0) = 0, "", _xlfn.XLOOKUP(C268, ABZ!A:A, ABZ!B:B, "", 0))</f>
        <v>SUP-TechnicalCommunication-TCO</v>
      </c>
      <c r="E268" t="s">
        <v>834</v>
      </c>
      <c r="F268" t="s">
        <v>529</v>
      </c>
      <c r="I268">
        <f t="shared" si="12"/>
        <v>0</v>
      </c>
      <c r="L268" s="9">
        <v>46058</v>
      </c>
      <c r="M268" s="9">
        <v>46063</v>
      </c>
      <c r="N268" s="18">
        <f t="shared" ca="1" si="13"/>
        <v>5</v>
      </c>
      <c r="O268" s="9">
        <v>46064</v>
      </c>
      <c r="P268" s="9" t="str">
        <f t="shared" si="14"/>
        <v>✅ Ja</v>
      </c>
      <c r="Q268" t="s">
        <v>837</v>
      </c>
      <c r="S268" t="s">
        <v>840</v>
      </c>
      <c r="T268" t="s">
        <v>540</v>
      </c>
      <c r="U268" t="s">
        <v>603</v>
      </c>
    </row>
    <row r="269" spans="2:21" x14ac:dyDescent="0.25">
      <c r="B269" t="s">
        <v>124</v>
      </c>
      <c r="C269" t="s">
        <v>493</v>
      </c>
      <c r="D269" t="str">
        <f>IF(_xlfn.XLOOKUP(C269, ABZ!A:A, ABZ!B:B, "", 0) = 0, "", _xlfn.XLOOKUP(C269, ABZ!A:A, ABZ!B:B, "", 0))</f>
        <v>SUP-TechnicalCommunication-TCO</v>
      </c>
      <c r="E269" t="s">
        <v>834</v>
      </c>
      <c r="F269" t="s">
        <v>527</v>
      </c>
      <c r="I269">
        <f t="shared" si="12"/>
        <v>0</v>
      </c>
      <c r="L269" s="9">
        <v>46058</v>
      </c>
      <c r="M269" s="9">
        <v>46063</v>
      </c>
      <c r="N269" s="18">
        <f t="shared" ca="1" si="13"/>
        <v>5</v>
      </c>
      <c r="O269" s="9">
        <v>46064</v>
      </c>
      <c r="P269" s="9" t="str">
        <f t="shared" si="14"/>
        <v>✅ Ja</v>
      </c>
      <c r="Q269" t="s">
        <v>843</v>
      </c>
      <c r="S269" t="s">
        <v>840</v>
      </c>
      <c r="T269" t="s">
        <v>540</v>
      </c>
      <c r="U269" t="s">
        <v>603</v>
      </c>
    </row>
    <row r="270" spans="2:21" x14ac:dyDescent="0.25">
      <c r="B270" t="s">
        <v>124</v>
      </c>
      <c r="C270" t="s">
        <v>493</v>
      </c>
      <c r="D270" t="str">
        <f>IF(_xlfn.XLOOKUP(C270, ABZ!A:A, ABZ!B:B, "", 0) = 0, "", _xlfn.XLOOKUP(C270, ABZ!A:A, ABZ!B:B, "", 0))</f>
        <v>SUP-TechnicalCommunication-TCO</v>
      </c>
      <c r="E270" t="s">
        <v>834</v>
      </c>
      <c r="F270" t="s">
        <v>527</v>
      </c>
      <c r="I270">
        <f t="shared" si="12"/>
        <v>0</v>
      </c>
      <c r="L270" s="9">
        <v>46058</v>
      </c>
      <c r="M270" s="9">
        <v>46063</v>
      </c>
      <c r="N270" s="18">
        <f t="shared" ca="1" si="13"/>
        <v>5</v>
      </c>
      <c r="O270" s="9">
        <v>46064</v>
      </c>
      <c r="P270" s="9" t="str">
        <f t="shared" si="14"/>
        <v>✅ Ja</v>
      </c>
      <c r="Q270" t="s">
        <v>836</v>
      </c>
      <c r="S270" t="s">
        <v>840</v>
      </c>
      <c r="T270" t="s">
        <v>540</v>
      </c>
      <c r="U270" t="s">
        <v>603</v>
      </c>
    </row>
    <row r="271" spans="2:21" x14ac:dyDescent="0.25">
      <c r="B271" t="s">
        <v>124</v>
      </c>
      <c r="C271" t="s">
        <v>493</v>
      </c>
      <c r="D271" t="str">
        <f>IF(_xlfn.XLOOKUP(C271, ABZ!A:A, ABZ!B:B, "", 0) = 0, "", _xlfn.XLOOKUP(C271, ABZ!A:A, ABZ!B:B, "", 0))</f>
        <v>SUP-TechnicalCommunication-TCO</v>
      </c>
      <c r="E271" t="s">
        <v>834</v>
      </c>
      <c r="F271" t="s">
        <v>528</v>
      </c>
      <c r="I271">
        <f t="shared" si="12"/>
        <v>0</v>
      </c>
      <c r="L271" s="9">
        <v>46058</v>
      </c>
      <c r="M271" s="9">
        <v>46063</v>
      </c>
      <c r="N271" s="18">
        <f t="shared" ca="1" si="13"/>
        <v>5</v>
      </c>
      <c r="O271" s="9">
        <v>46064</v>
      </c>
      <c r="P271" s="9" t="str">
        <f t="shared" si="14"/>
        <v>✅ Ja</v>
      </c>
      <c r="Q271" t="s">
        <v>841</v>
      </c>
      <c r="S271" t="s">
        <v>840</v>
      </c>
      <c r="T271" t="s">
        <v>540</v>
      </c>
      <c r="U271" t="s">
        <v>603</v>
      </c>
    </row>
    <row r="272" spans="2:21" x14ac:dyDescent="0.25">
      <c r="B272" t="s">
        <v>124</v>
      </c>
      <c r="C272" t="s">
        <v>493</v>
      </c>
      <c r="D272" t="str">
        <f>IF(_xlfn.XLOOKUP(C272, ABZ!A:A, ABZ!B:B, "", 0) = 0, "", _xlfn.XLOOKUP(C272, ABZ!A:A, ABZ!B:B, "", 0))</f>
        <v>SUP-TechnicalCommunication-TCO</v>
      </c>
      <c r="E272" t="s">
        <v>834</v>
      </c>
      <c r="F272" t="s">
        <v>530</v>
      </c>
      <c r="I272">
        <f t="shared" si="12"/>
        <v>0</v>
      </c>
      <c r="L272" s="9">
        <v>46058</v>
      </c>
      <c r="M272" s="9">
        <v>46063</v>
      </c>
      <c r="N272" s="18">
        <f t="shared" ca="1" si="13"/>
        <v>5</v>
      </c>
      <c r="O272" s="9">
        <v>46064</v>
      </c>
      <c r="P272" s="9" t="str">
        <f t="shared" si="14"/>
        <v>✅ Ja</v>
      </c>
      <c r="Q272" t="s">
        <v>844</v>
      </c>
      <c r="S272" t="s">
        <v>840</v>
      </c>
      <c r="T272" t="s">
        <v>540</v>
      </c>
      <c r="U272" t="s">
        <v>603</v>
      </c>
    </row>
    <row r="273" spans="2:21" x14ac:dyDescent="0.25">
      <c r="B273" t="s">
        <v>124</v>
      </c>
      <c r="C273" t="s">
        <v>493</v>
      </c>
      <c r="D273" t="str">
        <f>IF(_xlfn.XLOOKUP(C273, ABZ!A:A, ABZ!B:B, "", 0) = 0, "", _xlfn.XLOOKUP(C273, ABZ!A:A, ABZ!B:B, "", 0))</f>
        <v>SUP-TechnicalCommunication-TCO</v>
      </c>
      <c r="E273" t="s">
        <v>834</v>
      </c>
      <c r="F273" t="s">
        <v>527</v>
      </c>
      <c r="I273">
        <f t="shared" si="12"/>
        <v>0</v>
      </c>
      <c r="L273" s="9">
        <v>46058</v>
      </c>
      <c r="M273" s="9"/>
      <c r="N273" s="18">
        <f t="shared" ca="1" si="13"/>
        <v>106</v>
      </c>
      <c r="O273" s="9">
        <v>46086</v>
      </c>
      <c r="P273" s="9" t="str">
        <f t="shared" si="14"/>
        <v>⏳ Offen</v>
      </c>
      <c r="Q273" t="s">
        <v>840</v>
      </c>
      <c r="S273" t="s">
        <v>840</v>
      </c>
      <c r="T273" t="s">
        <v>540</v>
      </c>
    </row>
    <row r="274" spans="2:21" x14ac:dyDescent="0.25">
      <c r="B274" t="s">
        <v>124</v>
      </c>
      <c r="C274" t="s">
        <v>493</v>
      </c>
      <c r="D274" t="str">
        <f>IF(_xlfn.XLOOKUP(C274, ABZ!A:A, ABZ!B:B, "", 0) = 0, "", _xlfn.XLOOKUP(C274, ABZ!A:A, ABZ!B:B, "", 0))</f>
        <v>SUP-TechnicalCommunication-TCO</v>
      </c>
      <c r="E274" t="s">
        <v>834</v>
      </c>
      <c r="F274" t="s">
        <v>527</v>
      </c>
      <c r="I274">
        <f t="shared" si="12"/>
        <v>0</v>
      </c>
      <c r="L274" s="9">
        <v>46058</v>
      </c>
      <c r="M274" s="9">
        <v>46083</v>
      </c>
      <c r="N274" s="18">
        <f t="shared" ca="1" si="13"/>
        <v>25</v>
      </c>
      <c r="O274" s="9">
        <v>46086</v>
      </c>
      <c r="P274" s="9" t="str">
        <f t="shared" si="14"/>
        <v>✅ Ja</v>
      </c>
      <c r="Q274" t="s">
        <v>839</v>
      </c>
      <c r="S274" t="s">
        <v>840</v>
      </c>
      <c r="T274" t="s">
        <v>540</v>
      </c>
    </row>
    <row r="275" spans="2:21" x14ac:dyDescent="0.25">
      <c r="B275" t="s">
        <v>124</v>
      </c>
      <c r="C275" t="s">
        <v>493</v>
      </c>
      <c r="D275" t="str">
        <f>IF(_xlfn.XLOOKUP(C275, ABZ!A:A, ABZ!B:B, "", 0) = 0, "", _xlfn.XLOOKUP(C275, ABZ!A:A, ABZ!B:B, "", 0))</f>
        <v>SUP-TechnicalCommunication-TCO</v>
      </c>
      <c r="E275" t="s">
        <v>834</v>
      </c>
      <c r="F275" t="s">
        <v>527</v>
      </c>
      <c r="I275">
        <f t="shared" si="12"/>
        <v>0</v>
      </c>
      <c r="L275" s="9">
        <v>46058</v>
      </c>
      <c r="M275" s="9">
        <v>46083</v>
      </c>
      <c r="N275" s="18">
        <f t="shared" ca="1" si="13"/>
        <v>25</v>
      </c>
      <c r="O275" s="9">
        <v>46086</v>
      </c>
      <c r="P275" s="9" t="str">
        <f t="shared" si="14"/>
        <v>✅ Ja</v>
      </c>
      <c r="Q275" t="s">
        <v>839</v>
      </c>
      <c r="S275" t="s">
        <v>840</v>
      </c>
      <c r="T275" t="s">
        <v>540</v>
      </c>
    </row>
    <row r="276" spans="2:21" x14ac:dyDescent="0.25">
      <c r="B276" t="s">
        <v>124</v>
      </c>
      <c r="C276" t="s">
        <v>493</v>
      </c>
      <c r="D276" t="str">
        <f>IF(_xlfn.XLOOKUP(C276, ABZ!A:A, ABZ!B:B, "", 0) = 0, "", _xlfn.XLOOKUP(C276, ABZ!A:A, ABZ!B:B, "", 0))</f>
        <v>SUP-TechnicalCommunication-TCO</v>
      </c>
      <c r="E276" t="s">
        <v>834</v>
      </c>
      <c r="F276" t="s">
        <v>527</v>
      </c>
      <c r="I276">
        <f t="shared" si="12"/>
        <v>0</v>
      </c>
      <c r="L276" s="9">
        <v>46058</v>
      </c>
      <c r="M276" s="9"/>
      <c r="N276" s="18">
        <f t="shared" ca="1" si="13"/>
        <v>106</v>
      </c>
      <c r="O276" s="9">
        <v>46086</v>
      </c>
      <c r="P276" s="9" t="str">
        <f t="shared" si="14"/>
        <v>⏳ Offen</v>
      </c>
      <c r="Q276" t="s">
        <v>840</v>
      </c>
      <c r="S276" t="s">
        <v>840</v>
      </c>
      <c r="T276" t="s">
        <v>540</v>
      </c>
    </row>
    <row r="277" spans="2:21" x14ac:dyDescent="0.25">
      <c r="B277" t="s">
        <v>125</v>
      </c>
      <c r="C277" t="s">
        <v>494</v>
      </c>
      <c r="D277" t="str">
        <f>IF(_xlfn.XLOOKUP(C277, ABZ!A:A, ABZ!B:B, "", 0) = 0, "", _xlfn.XLOOKUP(C277, ABZ!A:A, ABZ!B:B, "", 0))</f>
        <v>ENT-Anwendungen</v>
      </c>
      <c r="E277" t="s">
        <v>835</v>
      </c>
      <c r="F277" t="s">
        <v>532</v>
      </c>
      <c r="H277">
        <v>2</v>
      </c>
      <c r="I277">
        <f t="shared" si="12"/>
        <v>1</v>
      </c>
      <c r="J277" t="s">
        <v>873</v>
      </c>
      <c r="K277">
        <v>155083</v>
      </c>
      <c r="L277" s="9">
        <v>46058</v>
      </c>
      <c r="M277" s="9">
        <v>46058</v>
      </c>
      <c r="N277" s="18">
        <f t="shared" ca="1" si="13"/>
        <v>0</v>
      </c>
      <c r="O277" s="9">
        <v>46058</v>
      </c>
      <c r="P277" s="9" t="str">
        <f t="shared" si="14"/>
        <v>✅ Ja</v>
      </c>
      <c r="Q277" t="s">
        <v>838</v>
      </c>
      <c r="S277" t="s">
        <v>838</v>
      </c>
      <c r="T277" t="s">
        <v>540</v>
      </c>
      <c r="U277" t="s">
        <v>604</v>
      </c>
    </row>
    <row r="278" spans="2:21" x14ac:dyDescent="0.25">
      <c r="B278" t="s">
        <v>125</v>
      </c>
      <c r="C278" t="s">
        <v>494</v>
      </c>
      <c r="D278" t="str">
        <f>IF(_xlfn.XLOOKUP(C278, ABZ!A:A, ABZ!B:B, "", 0) = 0, "", _xlfn.XLOOKUP(C278, ABZ!A:A, ABZ!B:B, "", 0))</f>
        <v>ENT-Anwendungen</v>
      </c>
      <c r="E278" t="s">
        <v>834</v>
      </c>
      <c r="F278" t="s">
        <v>529</v>
      </c>
      <c r="I278">
        <f t="shared" si="12"/>
        <v>0</v>
      </c>
      <c r="J278" t="s">
        <v>873</v>
      </c>
      <c r="K278">
        <v>155083</v>
      </c>
      <c r="L278" s="9">
        <v>46058</v>
      </c>
      <c r="M278" s="9">
        <v>46062</v>
      </c>
      <c r="N278" s="18">
        <f t="shared" ca="1" si="13"/>
        <v>4</v>
      </c>
      <c r="O278" s="9">
        <v>46063</v>
      </c>
      <c r="P278" s="9" t="str">
        <f t="shared" si="14"/>
        <v>✅ Ja</v>
      </c>
      <c r="Q278" t="s">
        <v>846</v>
      </c>
      <c r="S278" t="s">
        <v>838</v>
      </c>
      <c r="T278" t="s">
        <v>540</v>
      </c>
      <c r="U278" t="s">
        <v>604</v>
      </c>
    </row>
    <row r="279" spans="2:21" x14ac:dyDescent="0.25">
      <c r="B279" t="s">
        <v>125</v>
      </c>
      <c r="C279" t="s">
        <v>494</v>
      </c>
      <c r="D279" t="str">
        <f>IF(_xlfn.XLOOKUP(C279, ABZ!A:A, ABZ!B:B, "", 0) = 0, "", _xlfn.XLOOKUP(C279, ABZ!A:A, ABZ!B:B, "", 0))</f>
        <v>ENT-Anwendungen</v>
      </c>
      <c r="E279" t="s">
        <v>834</v>
      </c>
      <c r="F279" t="s">
        <v>530</v>
      </c>
      <c r="I279">
        <f t="shared" si="12"/>
        <v>0</v>
      </c>
      <c r="J279" t="s">
        <v>873</v>
      </c>
      <c r="K279">
        <v>155083</v>
      </c>
      <c r="L279" s="9">
        <v>46058</v>
      </c>
      <c r="M279" s="9">
        <v>46062</v>
      </c>
      <c r="N279" s="18">
        <f t="shared" ca="1" si="13"/>
        <v>4</v>
      </c>
      <c r="O279" s="9">
        <v>46063</v>
      </c>
      <c r="P279" s="9" t="str">
        <f t="shared" si="14"/>
        <v>✅ Ja</v>
      </c>
      <c r="Q279" t="s">
        <v>844</v>
      </c>
      <c r="R279" t="s">
        <v>839</v>
      </c>
      <c r="S279" t="s">
        <v>838</v>
      </c>
      <c r="T279" t="s">
        <v>540</v>
      </c>
      <c r="U279" t="s">
        <v>604</v>
      </c>
    </row>
    <row r="280" spans="2:21" x14ac:dyDescent="0.25">
      <c r="B280" t="s">
        <v>125</v>
      </c>
      <c r="C280" t="s">
        <v>494</v>
      </c>
      <c r="D280" t="str">
        <f>IF(_xlfn.XLOOKUP(C280, ABZ!A:A, ABZ!B:B, "", 0) = 0, "", _xlfn.XLOOKUP(C280, ABZ!A:A, ABZ!B:B, "", 0))</f>
        <v>ENT-Anwendungen</v>
      </c>
      <c r="E280" t="s">
        <v>834</v>
      </c>
      <c r="F280" t="s">
        <v>527</v>
      </c>
      <c r="I280">
        <f t="shared" si="12"/>
        <v>0</v>
      </c>
      <c r="J280" t="s">
        <v>873</v>
      </c>
      <c r="K280">
        <v>155083</v>
      </c>
      <c r="L280" s="9">
        <v>46058</v>
      </c>
      <c r="M280" s="9">
        <v>46062</v>
      </c>
      <c r="N280" s="18">
        <f t="shared" ca="1" si="13"/>
        <v>4</v>
      </c>
      <c r="O280" s="9">
        <v>46063</v>
      </c>
      <c r="P280" s="9" t="str">
        <f t="shared" si="14"/>
        <v>✅ Ja</v>
      </c>
      <c r="Q280" t="s">
        <v>843</v>
      </c>
      <c r="S280" t="s">
        <v>838</v>
      </c>
      <c r="T280" t="s">
        <v>540</v>
      </c>
      <c r="U280" t="s">
        <v>604</v>
      </c>
    </row>
    <row r="281" spans="2:21" x14ac:dyDescent="0.25">
      <c r="B281" t="s">
        <v>125</v>
      </c>
      <c r="C281" t="s">
        <v>494</v>
      </c>
      <c r="D281" t="str">
        <f>IF(_xlfn.XLOOKUP(C281, ABZ!A:A, ABZ!B:B, "", 0) = 0, "", _xlfn.XLOOKUP(C281, ABZ!A:A, ABZ!B:B, "", 0))</f>
        <v>ENT-Anwendungen</v>
      </c>
      <c r="E281" t="s">
        <v>834</v>
      </c>
      <c r="F281" t="s">
        <v>528</v>
      </c>
      <c r="I281">
        <f t="shared" si="12"/>
        <v>0</v>
      </c>
      <c r="J281" t="s">
        <v>873</v>
      </c>
      <c r="K281">
        <v>155083</v>
      </c>
      <c r="L281" s="9">
        <v>46058</v>
      </c>
      <c r="M281" s="9">
        <v>46062</v>
      </c>
      <c r="N281" s="18">
        <f t="shared" ca="1" si="13"/>
        <v>4</v>
      </c>
      <c r="O281" s="9">
        <v>46063</v>
      </c>
      <c r="P281" s="9" t="str">
        <f t="shared" si="14"/>
        <v>✅ Ja</v>
      </c>
      <c r="Q281" t="s">
        <v>841</v>
      </c>
      <c r="S281" t="s">
        <v>838</v>
      </c>
      <c r="T281" t="s">
        <v>540</v>
      </c>
      <c r="U281" t="s">
        <v>605</v>
      </c>
    </row>
    <row r="282" spans="2:21" x14ac:dyDescent="0.25">
      <c r="B282" t="s">
        <v>125</v>
      </c>
      <c r="C282" t="s">
        <v>494</v>
      </c>
      <c r="D282" t="str">
        <f>IF(_xlfn.XLOOKUP(C282, ABZ!A:A, ABZ!B:B, "", 0) = 0, "", _xlfn.XLOOKUP(C282, ABZ!A:A, ABZ!B:B, "", 0))</f>
        <v>ENT-Anwendungen</v>
      </c>
      <c r="E282" t="s">
        <v>834</v>
      </c>
      <c r="F282" t="s">
        <v>527</v>
      </c>
      <c r="I282">
        <f t="shared" si="12"/>
        <v>0</v>
      </c>
      <c r="J282" t="s">
        <v>873</v>
      </c>
      <c r="K282">
        <v>155083</v>
      </c>
      <c r="L282" s="9">
        <v>46058</v>
      </c>
      <c r="M282" s="9">
        <v>46062</v>
      </c>
      <c r="N282" s="18">
        <f t="shared" ca="1" si="13"/>
        <v>4</v>
      </c>
      <c r="O282" s="9">
        <v>46063</v>
      </c>
      <c r="P282" s="9" t="str">
        <f t="shared" si="14"/>
        <v>✅ Ja</v>
      </c>
      <c r="Q282" t="s">
        <v>836</v>
      </c>
      <c r="S282" t="s">
        <v>838</v>
      </c>
      <c r="T282" t="s">
        <v>540</v>
      </c>
      <c r="U282" t="s">
        <v>604</v>
      </c>
    </row>
    <row r="283" spans="2:21" x14ac:dyDescent="0.25">
      <c r="B283" t="s">
        <v>125</v>
      </c>
      <c r="C283" t="s">
        <v>494</v>
      </c>
      <c r="D283" t="str">
        <f>IF(_xlfn.XLOOKUP(C283, ABZ!A:A, ABZ!B:B, "", 0) = 0, "", _xlfn.XLOOKUP(C283, ABZ!A:A, ABZ!B:B, "", 0))</f>
        <v>ENT-Anwendungen</v>
      </c>
      <c r="E283" t="s">
        <v>834</v>
      </c>
      <c r="F283" t="s">
        <v>535</v>
      </c>
      <c r="I283">
        <f t="shared" si="12"/>
        <v>0</v>
      </c>
      <c r="J283" t="s">
        <v>873</v>
      </c>
      <c r="K283">
        <v>155083</v>
      </c>
      <c r="L283" s="9">
        <v>46058</v>
      </c>
      <c r="M283" s="9">
        <v>46062</v>
      </c>
      <c r="N283" s="18">
        <f t="shared" ca="1" si="13"/>
        <v>4</v>
      </c>
      <c r="O283" s="9">
        <v>46063</v>
      </c>
      <c r="P283" s="9" t="str">
        <f t="shared" si="14"/>
        <v>✅ Ja</v>
      </c>
      <c r="Q283" t="s">
        <v>842</v>
      </c>
      <c r="S283" t="s">
        <v>838</v>
      </c>
      <c r="T283" t="s">
        <v>540</v>
      </c>
      <c r="U283" t="s">
        <v>604</v>
      </c>
    </row>
    <row r="284" spans="2:21" x14ac:dyDescent="0.25">
      <c r="B284" t="s">
        <v>125</v>
      </c>
      <c r="C284" t="s">
        <v>494</v>
      </c>
      <c r="D284" t="str">
        <f>IF(_xlfn.XLOOKUP(C284, ABZ!A:A, ABZ!B:B, "", 0) = 0, "", _xlfn.XLOOKUP(C284, ABZ!A:A, ABZ!B:B, "", 0))</f>
        <v>ENT-Anwendungen</v>
      </c>
      <c r="E284" t="s">
        <v>834</v>
      </c>
      <c r="F284" t="s">
        <v>538</v>
      </c>
      <c r="I284">
        <f t="shared" si="12"/>
        <v>0</v>
      </c>
      <c r="J284" t="s">
        <v>873</v>
      </c>
      <c r="K284">
        <v>155083</v>
      </c>
      <c r="L284" s="9">
        <v>46058</v>
      </c>
      <c r="M284" s="9">
        <v>46062</v>
      </c>
      <c r="N284" s="18">
        <f t="shared" ca="1" si="13"/>
        <v>4</v>
      </c>
      <c r="O284" s="9">
        <v>46063</v>
      </c>
      <c r="P284" s="9" t="str">
        <f t="shared" si="14"/>
        <v>✅ Ja</v>
      </c>
      <c r="Q284" t="s">
        <v>842</v>
      </c>
      <c r="S284" t="s">
        <v>838</v>
      </c>
      <c r="T284" t="s">
        <v>540</v>
      </c>
      <c r="U284" t="s">
        <v>604</v>
      </c>
    </row>
    <row r="285" spans="2:21" x14ac:dyDescent="0.25">
      <c r="B285" t="s">
        <v>126</v>
      </c>
      <c r="C285" t="s">
        <v>457</v>
      </c>
      <c r="D285" t="str">
        <f>IF(_xlfn.XLOOKUP(C285, ABZ!A:A, ABZ!B:B, "", 0) = 0, "", _xlfn.XLOOKUP(C285, ABZ!A:A, ABZ!B:B, "", 0))</f>
        <v>VTR-CS-SER-PartnerCommunication</v>
      </c>
      <c r="E285" t="s">
        <v>834</v>
      </c>
      <c r="F285" t="s">
        <v>527</v>
      </c>
      <c r="I285">
        <f t="shared" si="12"/>
        <v>0</v>
      </c>
      <c r="L285" s="9">
        <v>46059</v>
      </c>
      <c r="M285" s="9">
        <v>46070</v>
      </c>
      <c r="N285" s="18">
        <f t="shared" ca="1" si="13"/>
        <v>11</v>
      </c>
      <c r="O285" s="9">
        <v>46070</v>
      </c>
      <c r="P285" s="9" t="str">
        <f t="shared" si="14"/>
        <v>✅ Ja</v>
      </c>
      <c r="Q285" t="s">
        <v>849</v>
      </c>
      <c r="R285" t="s">
        <v>841</v>
      </c>
      <c r="S285" t="s">
        <v>839</v>
      </c>
      <c r="T285" t="s">
        <v>540</v>
      </c>
      <c r="U285" t="s">
        <v>595</v>
      </c>
    </row>
    <row r="286" spans="2:21" x14ac:dyDescent="0.25">
      <c r="B286" t="s">
        <v>127</v>
      </c>
      <c r="C286" t="s">
        <v>466</v>
      </c>
      <c r="D286" t="str">
        <f>IF(_xlfn.XLOOKUP(C286, ABZ!A:A, ABZ!B:B, "", 0) = 0, "", _xlfn.XLOOKUP(C286, ABZ!A:A, ABZ!B:B, "", 0))</f>
        <v>VTR-CS-SER-PartnerCommunication</v>
      </c>
      <c r="E286" t="s">
        <v>834</v>
      </c>
      <c r="F286" t="s">
        <v>530</v>
      </c>
      <c r="I286">
        <f t="shared" si="12"/>
        <v>0</v>
      </c>
      <c r="L286" s="9">
        <v>46059</v>
      </c>
      <c r="M286" s="9">
        <v>46066</v>
      </c>
      <c r="N286" s="18">
        <f t="shared" ca="1" si="13"/>
        <v>7</v>
      </c>
      <c r="O286" s="9">
        <v>46070</v>
      </c>
      <c r="P286" s="9" t="str">
        <f t="shared" si="14"/>
        <v>✅ Ja</v>
      </c>
      <c r="Q286" t="s">
        <v>844</v>
      </c>
      <c r="R286" t="s">
        <v>839</v>
      </c>
      <c r="S286" t="s">
        <v>839</v>
      </c>
      <c r="T286" t="s">
        <v>540</v>
      </c>
      <c r="U286" t="s">
        <v>591</v>
      </c>
    </row>
    <row r="287" spans="2:21" x14ac:dyDescent="0.25">
      <c r="B287" t="s">
        <v>128</v>
      </c>
      <c r="C287" t="s">
        <v>464</v>
      </c>
      <c r="D287" t="str">
        <f>IF(_xlfn.XLOOKUP(C287, ABZ!A:A, ABZ!B:B, "", 0) = 0, "", _xlfn.XLOOKUP(C287, ABZ!A:A, ABZ!B:B, "", 0))</f>
        <v>ENT-UIC-Android</v>
      </c>
      <c r="E287" t="s">
        <v>834</v>
      </c>
      <c r="F287" t="s">
        <v>527</v>
      </c>
      <c r="I287">
        <f t="shared" si="12"/>
        <v>0</v>
      </c>
      <c r="J287" t="s">
        <v>873</v>
      </c>
      <c r="K287">
        <v>155118</v>
      </c>
      <c r="L287" s="9">
        <v>46059</v>
      </c>
      <c r="M287" s="9">
        <v>46111</v>
      </c>
      <c r="N287" s="18">
        <f t="shared" ca="1" si="13"/>
        <v>52</v>
      </c>
      <c r="O287" s="9"/>
      <c r="P287" s="9" t="str">
        <f t="shared" si="14"/>
        <v>❌ Nein</v>
      </c>
      <c r="Q287" t="s">
        <v>508</v>
      </c>
      <c r="R287" t="s">
        <v>838</v>
      </c>
      <c r="S287" t="s">
        <v>838</v>
      </c>
      <c r="T287" t="s">
        <v>540</v>
      </c>
      <c r="U287" t="s">
        <v>606</v>
      </c>
    </row>
    <row r="288" spans="2:21" x14ac:dyDescent="0.25">
      <c r="B288" t="s">
        <v>129</v>
      </c>
      <c r="C288" t="s">
        <v>464</v>
      </c>
      <c r="D288" t="str">
        <f>IF(_xlfn.XLOOKUP(C288, ABZ!A:A, ABZ!B:B, "", 0) = 0, "", _xlfn.XLOOKUP(C288, ABZ!A:A, ABZ!B:B, "", 0))</f>
        <v>ENT-UIC-Android</v>
      </c>
      <c r="E288" t="s">
        <v>834</v>
      </c>
      <c r="F288" t="s">
        <v>527</v>
      </c>
      <c r="I288">
        <f t="shared" si="12"/>
        <v>0</v>
      </c>
      <c r="J288" t="s">
        <v>873</v>
      </c>
      <c r="K288">
        <v>155119</v>
      </c>
      <c r="L288" s="9">
        <v>46059</v>
      </c>
      <c r="M288" s="9">
        <v>46111</v>
      </c>
      <c r="N288" s="18">
        <f t="shared" ca="1" si="13"/>
        <v>52</v>
      </c>
      <c r="O288" s="9"/>
      <c r="P288" s="9" t="str">
        <f t="shared" si="14"/>
        <v>❌ Nein</v>
      </c>
      <c r="Q288" t="s">
        <v>508</v>
      </c>
      <c r="R288" t="s">
        <v>838</v>
      </c>
      <c r="S288" t="s">
        <v>838</v>
      </c>
      <c r="T288" t="s">
        <v>540</v>
      </c>
      <c r="U288" t="s">
        <v>607</v>
      </c>
    </row>
    <row r="289" spans="2:21" x14ac:dyDescent="0.25">
      <c r="B289" t="s">
        <v>130</v>
      </c>
      <c r="C289" t="s">
        <v>495</v>
      </c>
      <c r="D289" t="str">
        <f>IF(_xlfn.XLOOKUP(C289, ABZ!A:A, ABZ!B:B, "", 0) = 0, "", _xlfn.XLOOKUP(C289, ABZ!A:A, ABZ!B:B, "", 0))</f>
        <v>VTR-CS-SER-PartnerCommunication</v>
      </c>
      <c r="E289" t="s">
        <v>834</v>
      </c>
      <c r="F289" t="s">
        <v>529</v>
      </c>
      <c r="I289">
        <f t="shared" si="12"/>
        <v>0</v>
      </c>
      <c r="L289" s="9">
        <v>46059</v>
      </c>
      <c r="M289" s="9">
        <v>46069</v>
      </c>
      <c r="N289" s="18">
        <f t="shared" ca="1" si="13"/>
        <v>10</v>
      </c>
      <c r="O289" s="9">
        <v>46073</v>
      </c>
      <c r="P289" s="9" t="str">
        <f t="shared" si="14"/>
        <v>✅ Ja</v>
      </c>
      <c r="Q289" t="s">
        <v>837</v>
      </c>
      <c r="S289" t="s">
        <v>839</v>
      </c>
      <c r="T289" t="s">
        <v>540</v>
      </c>
      <c r="U289" t="s">
        <v>608</v>
      </c>
    </row>
    <row r="290" spans="2:21" x14ac:dyDescent="0.25">
      <c r="B290" t="s">
        <v>131</v>
      </c>
      <c r="C290" t="s">
        <v>495</v>
      </c>
      <c r="D290" t="str">
        <f>IF(_xlfn.XLOOKUP(C290, ABZ!A:A, ABZ!B:B, "", 0) = 0, "", _xlfn.XLOOKUP(C290, ABZ!A:A, ABZ!B:B, "", 0))</f>
        <v>VTR-CS-SER-PartnerCommunication</v>
      </c>
      <c r="E290" t="s">
        <v>834</v>
      </c>
      <c r="F290" t="s">
        <v>529</v>
      </c>
      <c r="I290">
        <f t="shared" si="12"/>
        <v>0</v>
      </c>
      <c r="L290" s="9">
        <v>46059</v>
      </c>
      <c r="M290" s="9">
        <v>46069</v>
      </c>
      <c r="N290" s="18">
        <f t="shared" ca="1" si="13"/>
        <v>10</v>
      </c>
      <c r="O290" s="9">
        <v>46073</v>
      </c>
      <c r="P290" s="9" t="str">
        <f t="shared" si="14"/>
        <v>✅ Ja</v>
      </c>
      <c r="Q290" t="s">
        <v>837</v>
      </c>
      <c r="S290" t="s">
        <v>839</v>
      </c>
      <c r="T290" t="s">
        <v>540</v>
      </c>
      <c r="U290" t="s">
        <v>608</v>
      </c>
    </row>
    <row r="291" spans="2:21" x14ac:dyDescent="0.25">
      <c r="B291" t="s">
        <v>132</v>
      </c>
      <c r="C291" t="s">
        <v>495</v>
      </c>
      <c r="D291" t="str">
        <f>IF(_xlfn.XLOOKUP(C291, ABZ!A:A, ABZ!B:B, "", 0) = 0, "", _xlfn.XLOOKUP(C291, ABZ!A:A, ABZ!B:B, "", 0))</f>
        <v>VTR-CS-SER-PartnerCommunication</v>
      </c>
      <c r="E291" t="s">
        <v>834</v>
      </c>
      <c r="F291" t="s">
        <v>529</v>
      </c>
      <c r="I291">
        <f t="shared" si="12"/>
        <v>0</v>
      </c>
      <c r="L291" s="9">
        <v>46059</v>
      </c>
      <c r="M291" s="9">
        <v>46069</v>
      </c>
      <c r="N291" s="18">
        <f t="shared" ca="1" si="13"/>
        <v>10</v>
      </c>
      <c r="O291" s="9">
        <v>46073</v>
      </c>
      <c r="P291" s="9" t="str">
        <f t="shared" si="14"/>
        <v>✅ Ja</v>
      </c>
      <c r="Q291" t="s">
        <v>837</v>
      </c>
      <c r="S291" t="s">
        <v>839</v>
      </c>
      <c r="T291" t="s">
        <v>540</v>
      </c>
      <c r="U291" t="s">
        <v>608</v>
      </c>
    </row>
    <row r="292" spans="2:21" x14ac:dyDescent="0.25">
      <c r="B292" t="s">
        <v>133</v>
      </c>
      <c r="C292" t="s">
        <v>495</v>
      </c>
      <c r="D292" t="str">
        <f>IF(_xlfn.XLOOKUP(C292, ABZ!A:A, ABZ!B:B, "", 0) = 0, "", _xlfn.XLOOKUP(C292, ABZ!A:A, ABZ!B:B, "", 0))</f>
        <v>VTR-CS-SER-PartnerCommunication</v>
      </c>
      <c r="E292" t="s">
        <v>834</v>
      </c>
      <c r="F292" t="s">
        <v>529</v>
      </c>
      <c r="I292">
        <f t="shared" si="12"/>
        <v>0</v>
      </c>
      <c r="L292" s="9">
        <v>46059</v>
      </c>
      <c r="M292" s="9">
        <v>46069</v>
      </c>
      <c r="N292" s="18">
        <f t="shared" ca="1" si="13"/>
        <v>10</v>
      </c>
      <c r="O292" s="9">
        <v>46073</v>
      </c>
      <c r="P292" s="9" t="str">
        <f t="shared" si="14"/>
        <v>✅ Ja</v>
      </c>
      <c r="Q292" t="s">
        <v>837</v>
      </c>
      <c r="S292" t="s">
        <v>839</v>
      </c>
      <c r="T292" t="s">
        <v>540</v>
      </c>
      <c r="U292" t="s">
        <v>608</v>
      </c>
    </row>
    <row r="293" spans="2:21" x14ac:dyDescent="0.25">
      <c r="B293" t="s">
        <v>134</v>
      </c>
      <c r="C293" t="s">
        <v>495</v>
      </c>
      <c r="D293" t="str">
        <f>IF(_xlfn.XLOOKUP(C293, ABZ!A:A, ABZ!B:B, "", 0) = 0, "", _xlfn.XLOOKUP(C293, ABZ!A:A, ABZ!B:B, "", 0))</f>
        <v>VTR-CS-SER-PartnerCommunication</v>
      </c>
      <c r="E293" t="s">
        <v>834</v>
      </c>
      <c r="F293" t="s">
        <v>529</v>
      </c>
      <c r="I293">
        <f t="shared" si="12"/>
        <v>0</v>
      </c>
      <c r="L293" s="9">
        <v>46059</v>
      </c>
      <c r="M293" s="9">
        <v>46069</v>
      </c>
      <c r="N293" s="18">
        <f t="shared" ca="1" si="13"/>
        <v>10</v>
      </c>
      <c r="O293" s="9">
        <v>46073</v>
      </c>
      <c r="P293" s="9" t="str">
        <f t="shared" si="14"/>
        <v>✅ Ja</v>
      </c>
      <c r="Q293" t="s">
        <v>837</v>
      </c>
      <c r="S293" t="s">
        <v>839</v>
      </c>
      <c r="T293" t="s">
        <v>540</v>
      </c>
      <c r="U293" t="s">
        <v>608</v>
      </c>
    </row>
    <row r="294" spans="2:21" x14ac:dyDescent="0.25">
      <c r="B294" t="s">
        <v>135</v>
      </c>
      <c r="C294" t="s">
        <v>495</v>
      </c>
      <c r="D294" t="str">
        <f>IF(_xlfn.XLOOKUP(C294, ABZ!A:A, ABZ!B:B, "", 0) = 0, "", _xlfn.XLOOKUP(C294, ABZ!A:A, ABZ!B:B, "", 0))</f>
        <v>VTR-CS-SER-PartnerCommunication</v>
      </c>
      <c r="E294" t="s">
        <v>834</v>
      </c>
      <c r="F294" t="s">
        <v>529</v>
      </c>
      <c r="I294">
        <f t="shared" si="12"/>
        <v>0</v>
      </c>
      <c r="L294" s="9">
        <v>46059</v>
      </c>
      <c r="M294" s="9">
        <v>46069</v>
      </c>
      <c r="N294" s="18">
        <f t="shared" ca="1" si="13"/>
        <v>10</v>
      </c>
      <c r="O294" s="9">
        <v>46073</v>
      </c>
      <c r="P294" s="9" t="str">
        <f t="shared" si="14"/>
        <v>✅ Ja</v>
      </c>
      <c r="Q294" t="s">
        <v>837</v>
      </c>
      <c r="S294" t="s">
        <v>839</v>
      </c>
      <c r="T294" t="s">
        <v>540</v>
      </c>
      <c r="U294" t="s">
        <v>608</v>
      </c>
    </row>
    <row r="295" spans="2:21" x14ac:dyDescent="0.25">
      <c r="B295" t="s">
        <v>136</v>
      </c>
      <c r="C295" t="s">
        <v>495</v>
      </c>
      <c r="D295" t="str">
        <f>IF(_xlfn.XLOOKUP(C295, ABZ!A:A, ABZ!B:B, "", 0) = 0, "", _xlfn.XLOOKUP(C295, ABZ!A:A, ABZ!B:B, "", 0))</f>
        <v>VTR-CS-SER-PartnerCommunication</v>
      </c>
      <c r="E295" t="s">
        <v>834</v>
      </c>
      <c r="F295" t="s">
        <v>529</v>
      </c>
      <c r="I295">
        <f t="shared" si="12"/>
        <v>0</v>
      </c>
      <c r="L295" s="9">
        <v>46059</v>
      </c>
      <c r="M295" s="9">
        <v>46069</v>
      </c>
      <c r="N295" s="18">
        <f t="shared" ca="1" si="13"/>
        <v>10</v>
      </c>
      <c r="O295" s="9">
        <v>46073</v>
      </c>
      <c r="P295" s="9" t="str">
        <f t="shared" si="14"/>
        <v>✅ Ja</v>
      </c>
      <c r="Q295" t="s">
        <v>837</v>
      </c>
      <c r="S295" t="s">
        <v>839</v>
      </c>
      <c r="T295" t="s">
        <v>540</v>
      </c>
      <c r="U295" t="s">
        <v>608</v>
      </c>
    </row>
    <row r="296" spans="2:21" x14ac:dyDescent="0.25">
      <c r="B296" t="s">
        <v>137</v>
      </c>
      <c r="C296" t="s">
        <v>495</v>
      </c>
      <c r="D296" t="str">
        <f>IF(_xlfn.XLOOKUP(C296, ABZ!A:A, ABZ!B:B, "", 0) = 0, "", _xlfn.XLOOKUP(C296, ABZ!A:A, ABZ!B:B, "", 0))</f>
        <v>VTR-CS-SER-PartnerCommunication</v>
      </c>
      <c r="E296" t="s">
        <v>834</v>
      </c>
      <c r="F296" t="s">
        <v>529</v>
      </c>
      <c r="I296">
        <f t="shared" si="12"/>
        <v>0</v>
      </c>
      <c r="L296" s="9">
        <v>46059</v>
      </c>
      <c r="M296" s="9">
        <v>46069</v>
      </c>
      <c r="N296" s="18">
        <f t="shared" ca="1" si="13"/>
        <v>10</v>
      </c>
      <c r="O296" s="9">
        <v>46073</v>
      </c>
      <c r="P296" s="9" t="str">
        <f t="shared" si="14"/>
        <v>✅ Ja</v>
      </c>
      <c r="Q296" t="s">
        <v>837</v>
      </c>
      <c r="S296" t="s">
        <v>839</v>
      </c>
      <c r="T296" t="s">
        <v>540</v>
      </c>
      <c r="U296" t="s">
        <v>608</v>
      </c>
    </row>
    <row r="297" spans="2:21" x14ac:dyDescent="0.25">
      <c r="B297" t="s">
        <v>138</v>
      </c>
      <c r="C297" t="s">
        <v>495</v>
      </c>
      <c r="D297" t="str">
        <f>IF(_xlfn.XLOOKUP(C297, ABZ!A:A, ABZ!B:B, "", 0) = 0, "", _xlfn.XLOOKUP(C297, ABZ!A:A, ABZ!B:B, "", 0))</f>
        <v>VTR-CS-SER-PartnerCommunication</v>
      </c>
      <c r="E297" t="s">
        <v>834</v>
      </c>
      <c r="F297" t="s">
        <v>529</v>
      </c>
      <c r="I297">
        <f t="shared" si="12"/>
        <v>0</v>
      </c>
      <c r="L297" s="9">
        <v>46059</v>
      </c>
      <c r="M297" s="9">
        <v>46069</v>
      </c>
      <c r="N297" s="18">
        <f t="shared" ca="1" si="13"/>
        <v>10</v>
      </c>
      <c r="O297" s="9">
        <v>46073</v>
      </c>
      <c r="P297" s="9" t="str">
        <f t="shared" si="14"/>
        <v>✅ Ja</v>
      </c>
      <c r="Q297" t="s">
        <v>837</v>
      </c>
      <c r="S297" t="s">
        <v>839</v>
      </c>
      <c r="T297" t="s">
        <v>540</v>
      </c>
      <c r="U297" t="s">
        <v>608</v>
      </c>
    </row>
    <row r="298" spans="2:21" x14ac:dyDescent="0.25">
      <c r="B298" t="s">
        <v>139</v>
      </c>
      <c r="C298" t="s">
        <v>495</v>
      </c>
      <c r="D298" t="str">
        <f>IF(_xlfn.XLOOKUP(C298, ABZ!A:A, ABZ!B:B, "", 0) = 0, "", _xlfn.XLOOKUP(C298, ABZ!A:A, ABZ!B:B, "", 0))</f>
        <v>VTR-CS-SER-PartnerCommunication</v>
      </c>
      <c r="E298" t="s">
        <v>834</v>
      </c>
      <c r="F298" t="s">
        <v>529</v>
      </c>
      <c r="I298">
        <f t="shared" si="12"/>
        <v>0</v>
      </c>
      <c r="L298" s="9">
        <v>46059</v>
      </c>
      <c r="M298" s="9">
        <v>46069</v>
      </c>
      <c r="N298" s="18">
        <f t="shared" ca="1" si="13"/>
        <v>10</v>
      </c>
      <c r="O298" s="9">
        <v>46073</v>
      </c>
      <c r="P298" s="9" t="str">
        <f t="shared" si="14"/>
        <v>✅ Ja</v>
      </c>
      <c r="Q298" t="s">
        <v>837</v>
      </c>
      <c r="S298" t="s">
        <v>839</v>
      </c>
      <c r="T298" t="s">
        <v>540</v>
      </c>
      <c r="U298" t="s">
        <v>608</v>
      </c>
    </row>
    <row r="299" spans="2:21" x14ac:dyDescent="0.25">
      <c r="B299" t="s">
        <v>140</v>
      </c>
      <c r="C299" t="s">
        <v>495</v>
      </c>
      <c r="D299" t="str">
        <f>IF(_xlfn.XLOOKUP(C299, ABZ!A:A, ABZ!B:B, "", 0) = 0, "", _xlfn.XLOOKUP(C299, ABZ!A:A, ABZ!B:B, "", 0))</f>
        <v>VTR-CS-SER-PartnerCommunication</v>
      </c>
      <c r="E299" t="s">
        <v>834</v>
      </c>
      <c r="F299" t="s">
        <v>529</v>
      </c>
      <c r="I299">
        <f t="shared" si="12"/>
        <v>0</v>
      </c>
      <c r="L299" s="9">
        <v>46059</v>
      </c>
      <c r="M299" s="9">
        <v>46069</v>
      </c>
      <c r="N299" s="18">
        <f t="shared" ca="1" si="13"/>
        <v>10</v>
      </c>
      <c r="O299" s="9">
        <v>46073</v>
      </c>
      <c r="P299" s="9" t="str">
        <f t="shared" si="14"/>
        <v>✅ Ja</v>
      </c>
      <c r="Q299" t="s">
        <v>837</v>
      </c>
      <c r="S299" t="s">
        <v>839</v>
      </c>
      <c r="T299" t="s">
        <v>540</v>
      </c>
      <c r="U299" t="s">
        <v>608</v>
      </c>
    </row>
    <row r="300" spans="2:21" x14ac:dyDescent="0.25">
      <c r="B300" t="s">
        <v>141</v>
      </c>
      <c r="C300" t="s">
        <v>495</v>
      </c>
      <c r="D300" t="str">
        <f>IF(_xlfn.XLOOKUP(C300, ABZ!A:A, ABZ!B:B, "", 0) = 0, "", _xlfn.XLOOKUP(C300, ABZ!A:A, ABZ!B:B, "", 0))</f>
        <v>VTR-CS-SER-PartnerCommunication</v>
      </c>
      <c r="E300" t="s">
        <v>834</v>
      </c>
      <c r="F300" t="s">
        <v>529</v>
      </c>
      <c r="I300">
        <f t="shared" si="12"/>
        <v>0</v>
      </c>
      <c r="L300" s="9">
        <v>46059</v>
      </c>
      <c r="M300" s="9">
        <v>46069</v>
      </c>
      <c r="N300" s="18">
        <f t="shared" ca="1" si="13"/>
        <v>10</v>
      </c>
      <c r="O300" s="9">
        <v>46073</v>
      </c>
      <c r="P300" s="9" t="str">
        <f t="shared" si="14"/>
        <v>✅ Ja</v>
      </c>
      <c r="Q300" t="s">
        <v>837</v>
      </c>
      <c r="S300" t="s">
        <v>839</v>
      </c>
      <c r="T300" t="s">
        <v>540</v>
      </c>
      <c r="U300" t="s">
        <v>608</v>
      </c>
    </row>
    <row r="301" spans="2:21" x14ac:dyDescent="0.25">
      <c r="B301" t="s">
        <v>142</v>
      </c>
      <c r="C301" t="s">
        <v>495</v>
      </c>
      <c r="D301" t="str">
        <f>IF(_xlfn.XLOOKUP(C301, ABZ!A:A, ABZ!B:B, "", 0) = 0, "", _xlfn.XLOOKUP(C301, ABZ!A:A, ABZ!B:B, "", 0))</f>
        <v>VTR-CS-SER-PartnerCommunication</v>
      </c>
      <c r="E301" t="s">
        <v>834</v>
      </c>
      <c r="F301" t="s">
        <v>529</v>
      </c>
      <c r="I301">
        <f t="shared" si="12"/>
        <v>0</v>
      </c>
      <c r="L301" s="9">
        <v>46059</v>
      </c>
      <c r="M301" s="9">
        <v>46069</v>
      </c>
      <c r="N301" s="18">
        <f t="shared" ca="1" si="13"/>
        <v>10</v>
      </c>
      <c r="O301" s="9">
        <v>46073</v>
      </c>
      <c r="P301" s="9" t="str">
        <f t="shared" si="14"/>
        <v>✅ Ja</v>
      </c>
      <c r="Q301" t="s">
        <v>837</v>
      </c>
      <c r="S301" t="s">
        <v>839</v>
      </c>
      <c r="T301" t="s">
        <v>540</v>
      </c>
      <c r="U301" t="s">
        <v>608</v>
      </c>
    </row>
    <row r="302" spans="2:21" x14ac:dyDescent="0.25">
      <c r="B302" t="s">
        <v>143</v>
      </c>
      <c r="C302" t="s">
        <v>495</v>
      </c>
      <c r="D302" t="str">
        <f>IF(_xlfn.XLOOKUP(C302, ABZ!A:A, ABZ!B:B, "", 0) = 0, "", _xlfn.XLOOKUP(C302, ABZ!A:A, ABZ!B:B, "", 0))</f>
        <v>VTR-CS-SER-PartnerCommunication</v>
      </c>
      <c r="E302" t="s">
        <v>834</v>
      </c>
      <c r="F302" t="s">
        <v>529</v>
      </c>
      <c r="I302">
        <f t="shared" si="12"/>
        <v>0</v>
      </c>
      <c r="L302" s="9">
        <v>46059</v>
      </c>
      <c r="M302" s="9">
        <v>46069</v>
      </c>
      <c r="N302" s="18">
        <f t="shared" ca="1" si="13"/>
        <v>10</v>
      </c>
      <c r="O302" s="9">
        <v>46073</v>
      </c>
      <c r="P302" s="9" t="str">
        <f t="shared" si="14"/>
        <v>✅ Ja</v>
      </c>
      <c r="Q302" t="s">
        <v>837</v>
      </c>
      <c r="S302" t="s">
        <v>839</v>
      </c>
      <c r="T302" t="s">
        <v>540</v>
      </c>
      <c r="U302" t="s">
        <v>608</v>
      </c>
    </row>
    <row r="303" spans="2:21" x14ac:dyDescent="0.25">
      <c r="B303" t="s">
        <v>144</v>
      </c>
      <c r="C303" t="s">
        <v>495</v>
      </c>
      <c r="D303" t="str">
        <f>IF(_xlfn.XLOOKUP(C303, ABZ!A:A, ABZ!B:B, "", 0) = 0, "", _xlfn.XLOOKUP(C303, ABZ!A:A, ABZ!B:B, "", 0))</f>
        <v>VTR-CS-SER-PartnerCommunication</v>
      </c>
      <c r="E303" t="s">
        <v>834</v>
      </c>
      <c r="F303" t="s">
        <v>529</v>
      </c>
      <c r="I303">
        <f t="shared" si="12"/>
        <v>0</v>
      </c>
      <c r="L303" s="9">
        <v>46059</v>
      </c>
      <c r="M303" s="9">
        <v>46069</v>
      </c>
      <c r="N303" s="18">
        <f t="shared" ca="1" si="13"/>
        <v>10</v>
      </c>
      <c r="O303" s="9">
        <v>46073</v>
      </c>
      <c r="P303" s="9" t="str">
        <f t="shared" si="14"/>
        <v>✅ Ja</v>
      </c>
      <c r="Q303" t="s">
        <v>837</v>
      </c>
      <c r="S303" t="s">
        <v>839</v>
      </c>
      <c r="T303" t="s">
        <v>540</v>
      </c>
      <c r="U303" t="s">
        <v>608</v>
      </c>
    </row>
    <row r="304" spans="2:21" x14ac:dyDescent="0.25">
      <c r="B304" t="s">
        <v>145</v>
      </c>
      <c r="C304" t="s">
        <v>495</v>
      </c>
      <c r="D304" t="str">
        <f>IF(_xlfn.XLOOKUP(C304, ABZ!A:A, ABZ!B:B, "", 0) = 0, "", _xlfn.XLOOKUP(C304, ABZ!A:A, ABZ!B:B, "", 0))</f>
        <v>VTR-CS-SER-PartnerCommunication</v>
      </c>
      <c r="E304" t="s">
        <v>834</v>
      </c>
      <c r="F304" t="s">
        <v>529</v>
      </c>
      <c r="I304">
        <f t="shared" si="12"/>
        <v>0</v>
      </c>
      <c r="L304" s="9">
        <v>46059</v>
      </c>
      <c r="M304" s="9">
        <v>46069</v>
      </c>
      <c r="N304" s="18">
        <f t="shared" ca="1" si="13"/>
        <v>10</v>
      </c>
      <c r="O304" s="9">
        <v>46073</v>
      </c>
      <c r="P304" s="9" t="str">
        <f t="shared" si="14"/>
        <v>✅ Ja</v>
      </c>
      <c r="Q304" t="s">
        <v>837</v>
      </c>
      <c r="S304" t="s">
        <v>839</v>
      </c>
      <c r="T304" t="s">
        <v>540</v>
      </c>
      <c r="U304" t="s">
        <v>608</v>
      </c>
    </row>
    <row r="305" spans="2:21" x14ac:dyDescent="0.25">
      <c r="B305" t="s">
        <v>146</v>
      </c>
      <c r="C305" t="s">
        <v>495</v>
      </c>
      <c r="D305" t="str">
        <f>IF(_xlfn.XLOOKUP(C305, ABZ!A:A, ABZ!B:B, "", 0) = 0, "", _xlfn.XLOOKUP(C305, ABZ!A:A, ABZ!B:B, "", 0))</f>
        <v>VTR-CS-SER-PartnerCommunication</v>
      </c>
      <c r="E305" t="s">
        <v>834</v>
      </c>
      <c r="F305" t="s">
        <v>529</v>
      </c>
      <c r="I305">
        <f t="shared" si="12"/>
        <v>0</v>
      </c>
      <c r="L305" s="9">
        <v>46059</v>
      </c>
      <c r="M305" s="9">
        <v>46069</v>
      </c>
      <c r="N305" s="18">
        <f t="shared" ca="1" si="13"/>
        <v>10</v>
      </c>
      <c r="O305" s="9">
        <v>46073</v>
      </c>
      <c r="P305" s="9" t="str">
        <f t="shared" si="14"/>
        <v>✅ Ja</v>
      </c>
      <c r="Q305" t="s">
        <v>837</v>
      </c>
      <c r="S305" t="s">
        <v>839</v>
      </c>
      <c r="T305" t="s">
        <v>540</v>
      </c>
      <c r="U305" t="s">
        <v>608</v>
      </c>
    </row>
    <row r="306" spans="2:21" x14ac:dyDescent="0.25">
      <c r="B306" t="s">
        <v>147</v>
      </c>
      <c r="C306" t="s">
        <v>495</v>
      </c>
      <c r="D306" t="str">
        <f>IF(_xlfn.XLOOKUP(C306, ABZ!A:A, ABZ!B:B, "", 0) = 0, "", _xlfn.XLOOKUP(C306, ABZ!A:A, ABZ!B:B, "", 0))</f>
        <v>VTR-CS-SER-PartnerCommunication</v>
      </c>
      <c r="E306" t="s">
        <v>834</v>
      </c>
      <c r="F306" t="s">
        <v>529</v>
      </c>
      <c r="I306">
        <f t="shared" si="12"/>
        <v>0</v>
      </c>
      <c r="L306" s="9">
        <v>46059</v>
      </c>
      <c r="M306" s="9">
        <v>46069</v>
      </c>
      <c r="N306" s="18">
        <f t="shared" ca="1" si="13"/>
        <v>10</v>
      </c>
      <c r="O306" s="9">
        <v>46073</v>
      </c>
      <c r="P306" s="9" t="str">
        <f t="shared" si="14"/>
        <v>✅ Ja</v>
      </c>
      <c r="Q306" t="s">
        <v>837</v>
      </c>
      <c r="S306" t="s">
        <v>839</v>
      </c>
      <c r="T306" t="s">
        <v>540</v>
      </c>
      <c r="U306" t="s">
        <v>608</v>
      </c>
    </row>
    <row r="307" spans="2:21" x14ac:dyDescent="0.25">
      <c r="B307" t="s">
        <v>148</v>
      </c>
      <c r="C307" t="s">
        <v>495</v>
      </c>
      <c r="D307" t="str">
        <f>IF(_xlfn.XLOOKUP(C307, ABZ!A:A, ABZ!B:B, "", 0) = 0, "", _xlfn.XLOOKUP(C307, ABZ!A:A, ABZ!B:B, "", 0))</f>
        <v>VTR-CS-SER-PartnerCommunication</v>
      </c>
      <c r="E307" t="s">
        <v>834</v>
      </c>
      <c r="F307" t="s">
        <v>529</v>
      </c>
      <c r="I307">
        <f t="shared" si="12"/>
        <v>0</v>
      </c>
      <c r="L307" s="9">
        <v>46059</v>
      </c>
      <c r="M307" s="9">
        <v>46069</v>
      </c>
      <c r="N307" s="18">
        <f t="shared" ca="1" si="13"/>
        <v>10</v>
      </c>
      <c r="O307" s="9">
        <v>46073</v>
      </c>
      <c r="P307" s="9" t="str">
        <f t="shared" si="14"/>
        <v>✅ Ja</v>
      </c>
      <c r="Q307" t="s">
        <v>837</v>
      </c>
      <c r="S307" t="s">
        <v>839</v>
      </c>
      <c r="T307" t="s">
        <v>540</v>
      </c>
      <c r="U307" t="s">
        <v>608</v>
      </c>
    </row>
    <row r="308" spans="2:21" x14ac:dyDescent="0.25">
      <c r="B308" t="s">
        <v>149</v>
      </c>
      <c r="C308" t="s">
        <v>495</v>
      </c>
      <c r="D308" t="str">
        <f>IF(_xlfn.XLOOKUP(C308, ABZ!A:A, ABZ!B:B, "", 0) = 0, "", _xlfn.XLOOKUP(C308, ABZ!A:A, ABZ!B:B, "", 0))</f>
        <v>VTR-CS-SER-PartnerCommunication</v>
      </c>
      <c r="E308" t="s">
        <v>834</v>
      </c>
      <c r="F308" t="s">
        <v>529</v>
      </c>
      <c r="I308">
        <f t="shared" si="12"/>
        <v>0</v>
      </c>
      <c r="L308" s="9">
        <v>46059</v>
      </c>
      <c r="M308" s="9">
        <v>46072</v>
      </c>
      <c r="N308" s="18">
        <f t="shared" ca="1" si="13"/>
        <v>13</v>
      </c>
      <c r="O308" s="9">
        <v>46073</v>
      </c>
      <c r="P308" s="9" t="str">
        <f t="shared" si="14"/>
        <v>✅ Ja</v>
      </c>
      <c r="Q308" t="s">
        <v>845</v>
      </c>
      <c r="S308" t="s">
        <v>839</v>
      </c>
      <c r="T308" t="s">
        <v>540</v>
      </c>
      <c r="U308" t="s">
        <v>609</v>
      </c>
    </row>
    <row r="309" spans="2:21" x14ac:dyDescent="0.25">
      <c r="B309" t="s">
        <v>150</v>
      </c>
      <c r="C309" t="s">
        <v>495</v>
      </c>
      <c r="D309" t="str">
        <f>IF(_xlfn.XLOOKUP(C309, ABZ!A:A, ABZ!B:B, "", 0) = 0, "", _xlfn.XLOOKUP(C309, ABZ!A:A, ABZ!B:B, "", 0))</f>
        <v>VTR-CS-SER-PartnerCommunication</v>
      </c>
      <c r="E309" t="s">
        <v>834</v>
      </c>
      <c r="F309" t="s">
        <v>529</v>
      </c>
      <c r="I309">
        <f t="shared" si="12"/>
        <v>0</v>
      </c>
      <c r="L309" s="9">
        <v>46059</v>
      </c>
      <c r="M309" s="9">
        <v>46072</v>
      </c>
      <c r="N309" s="18">
        <f t="shared" ca="1" si="13"/>
        <v>13</v>
      </c>
      <c r="O309" s="9">
        <v>46073</v>
      </c>
      <c r="P309" s="9" t="str">
        <f t="shared" si="14"/>
        <v>✅ Ja</v>
      </c>
      <c r="Q309" t="s">
        <v>845</v>
      </c>
      <c r="S309" t="s">
        <v>839</v>
      </c>
      <c r="T309" t="s">
        <v>540</v>
      </c>
      <c r="U309" t="s">
        <v>609</v>
      </c>
    </row>
    <row r="310" spans="2:21" x14ac:dyDescent="0.25">
      <c r="B310" t="s">
        <v>151</v>
      </c>
      <c r="C310" t="s">
        <v>495</v>
      </c>
      <c r="D310" t="str">
        <f>IF(_xlfn.XLOOKUP(C310, ABZ!A:A, ABZ!B:B, "", 0) = 0, "", _xlfn.XLOOKUP(C310, ABZ!A:A, ABZ!B:B, "", 0))</f>
        <v>VTR-CS-SER-PartnerCommunication</v>
      </c>
      <c r="E310" t="s">
        <v>834</v>
      </c>
      <c r="F310" t="s">
        <v>529</v>
      </c>
      <c r="I310">
        <f t="shared" si="12"/>
        <v>0</v>
      </c>
      <c r="L310" s="9">
        <v>46059</v>
      </c>
      <c r="M310" s="9">
        <v>46072</v>
      </c>
      <c r="N310" s="18">
        <f t="shared" ca="1" si="13"/>
        <v>13</v>
      </c>
      <c r="O310" s="9">
        <v>46073</v>
      </c>
      <c r="P310" s="9" t="str">
        <f t="shared" si="14"/>
        <v>✅ Ja</v>
      </c>
      <c r="Q310" t="s">
        <v>845</v>
      </c>
      <c r="S310" t="s">
        <v>839</v>
      </c>
      <c r="T310" t="s">
        <v>540</v>
      </c>
      <c r="U310" t="s">
        <v>609</v>
      </c>
    </row>
    <row r="311" spans="2:21" x14ac:dyDescent="0.25">
      <c r="B311" t="s">
        <v>152</v>
      </c>
      <c r="C311" t="s">
        <v>495</v>
      </c>
      <c r="D311" t="str">
        <f>IF(_xlfn.XLOOKUP(C311, ABZ!A:A, ABZ!B:B, "", 0) = 0, "", _xlfn.XLOOKUP(C311, ABZ!A:A, ABZ!B:B, "", 0))</f>
        <v>VTR-CS-SER-PartnerCommunication</v>
      </c>
      <c r="E311" t="s">
        <v>834</v>
      </c>
      <c r="F311" t="s">
        <v>529</v>
      </c>
      <c r="I311">
        <f t="shared" si="12"/>
        <v>0</v>
      </c>
      <c r="L311" s="9">
        <v>46059</v>
      </c>
      <c r="M311" s="9">
        <v>46072</v>
      </c>
      <c r="N311" s="18">
        <f t="shared" ca="1" si="13"/>
        <v>13</v>
      </c>
      <c r="O311" s="9">
        <v>46073</v>
      </c>
      <c r="P311" s="9" t="str">
        <f t="shared" si="14"/>
        <v>✅ Ja</v>
      </c>
      <c r="Q311" t="s">
        <v>846</v>
      </c>
      <c r="S311" t="s">
        <v>839</v>
      </c>
      <c r="T311" t="s">
        <v>540</v>
      </c>
      <c r="U311" t="s">
        <v>609</v>
      </c>
    </row>
    <row r="312" spans="2:21" x14ac:dyDescent="0.25">
      <c r="B312" t="s">
        <v>153</v>
      </c>
      <c r="C312" t="s">
        <v>495</v>
      </c>
      <c r="D312" t="str">
        <f>IF(_xlfn.XLOOKUP(C312, ABZ!A:A, ABZ!B:B, "", 0) = 0, "", _xlfn.XLOOKUP(C312, ABZ!A:A, ABZ!B:B, "", 0))</f>
        <v>VTR-CS-SER-PartnerCommunication</v>
      </c>
      <c r="E312" t="s">
        <v>834</v>
      </c>
      <c r="F312" t="s">
        <v>529</v>
      </c>
      <c r="I312">
        <f t="shared" si="12"/>
        <v>0</v>
      </c>
      <c r="L312" s="9">
        <v>46059</v>
      </c>
      <c r="M312" s="9">
        <v>46072</v>
      </c>
      <c r="N312" s="18">
        <f t="shared" ca="1" si="13"/>
        <v>13</v>
      </c>
      <c r="O312" s="9">
        <v>46073</v>
      </c>
      <c r="P312" s="9" t="str">
        <f t="shared" si="14"/>
        <v>✅ Ja</v>
      </c>
      <c r="Q312" t="s">
        <v>846</v>
      </c>
      <c r="S312" t="s">
        <v>839</v>
      </c>
      <c r="T312" t="s">
        <v>540</v>
      </c>
      <c r="U312" t="s">
        <v>609</v>
      </c>
    </row>
    <row r="313" spans="2:21" x14ac:dyDescent="0.25">
      <c r="B313" t="s">
        <v>154</v>
      </c>
      <c r="C313" t="s">
        <v>495</v>
      </c>
      <c r="D313" t="str">
        <f>IF(_xlfn.XLOOKUP(C313, ABZ!A:A, ABZ!B:B, "", 0) = 0, "", _xlfn.XLOOKUP(C313, ABZ!A:A, ABZ!B:B, "", 0))</f>
        <v>VTR-CS-SER-PartnerCommunication</v>
      </c>
      <c r="E313" t="s">
        <v>834</v>
      </c>
      <c r="F313" t="s">
        <v>529</v>
      </c>
      <c r="I313">
        <f t="shared" si="12"/>
        <v>0</v>
      </c>
      <c r="L313" s="9">
        <v>46059</v>
      </c>
      <c r="M313" s="9">
        <v>46072</v>
      </c>
      <c r="N313" s="18">
        <f t="shared" ca="1" si="13"/>
        <v>13</v>
      </c>
      <c r="O313" s="9">
        <v>46073</v>
      </c>
      <c r="P313" s="9" t="str">
        <f t="shared" si="14"/>
        <v>✅ Ja</v>
      </c>
      <c r="Q313" t="s">
        <v>846</v>
      </c>
      <c r="S313" t="s">
        <v>839</v>
      </c>
      <c r="T313" t="s">
        <v>540</v>
      </c>
      <c r="U313" t="s">
        <v>609</v>
      </c>
    </row>
    <row r="314" spans="2:21" x14ac:dyDescent="0.25">
      <c r="B314" t="s">
        <v>155</v>
      </c>
      <c r="C314" t="s">
        <v>495</v>
      </c>
      <c r="D314" t="str">
        <f>IF(_xlfn.XLOOKUP(C314, ABZ!A:A, ABZ!B:B, "", 0) = 0, "", _xlfn.XLOOKUP(C314, ABZ!A:A, ABZ!B:B, "", 0))</f>
        <v>VTR-CS-SER-PartnerCommunication</v>
      </c>
      <c r="E314" t="s">
        <v>834</v>
      </c>
      <c r="F314" t="s">
        <v>529</v>
      </c>
      <c r="I314">
        <f t="shared" si="12"/>
        <v>0</v>
      </c>
      <c r="L314" s="9">
        <v>46059</v>
      </c>
      <c r="M314" s="9">
        <v>46072</v>
      </c>
      <c r="N314" s="18">
        <f t="shared" ca="1" si="13"/>
        <v>13</v>
      </c>
      <c r="O314" s="9">
        <v>46073</v>
      </c>
      <c r="P314" s="9" t="str">
        <f t="shared" si="14"/>
        <v>✅ Ja</v>
      </c>
      <c r="Q314" t="s">
        <v>846</v>
      </c>
      <c r="S314" t="s">
        <v>839</v>
      </c>
      <c r="T314" t="s">
        <v>540</v>
      </c>
      <c r="U314" t="s">
        <v>609</v>
      </c>
    </row>
    <row r="315" spans="2:21" x14ac:dyDescent="0.25">
      <c r="B315" t="s">
        <v>156</v>
      </c>
      <c r="C315" t="s">
        <v>495</v>
      </c>
      <c r="D315" t="str">
        <f>IF(_xlfn.XLOOKUP(C315, ABZ!A:A, ABZ!B:B, "", 0) = 0, "", _xlfn.XLOOKUP(C315, ABZ!A:A, ABZ!B:B, "", 0))</f>
        <v>VTR-CS-SER-PartnerCommunication</v>
      </c>
      <c r="E315" t="s">
        <v>834</v>
      </c>
      <c r="F315" t="s">
        <v>529</v>
      </c>
      <c r="I315">
        <f t="shared" si="12"/>
        <v>0</v>
      </c>
      <c r="L315" s="9">
        <v>46059</v>
      </c>
      <c r="M315" s="9">
        <v>46072</v>
      </c>
      <c r="N315" s="18">
        <f t="shared" ca="1" si="13"/>
        <v>13</v>
      </c>
      <c r="O315" s="9">
        <v>46073</v>
      </c>
      <c r="P315" s="9" t="str">
        <f t="shared" si="14"/>
        <v>✅ Ja</v>
      </c>
      <c r="Q315" t="s">
        <v>846</v>
      </c>
      <c r="S315" t="s">
        <v>839</v>
      </c>
      <c r="T315" t="s">
        <v>540</v>
      </c>
      <c r="U315" t="s">
        <v>609</v>
      </c>
    </row>
    <row r="316" spans="2:21" x14ac:dyDescent="0.25">
      <c r="B316" t="s">
        <v>157</v>
      </c>
      <c r="C316" t="s">
        <v>495</v>
      </c>
      <c r="D316" t="str">
        <f>IF(_xlfn.XLOOKUP(C316, ABZ!A:A, ABZ!B:B, "", 0) = 0, "", _xlfn.XLOOKUP(C316, ABZ!A:A, ABZ!B:B, "", 0))</f>
        <v>VTR-CS-SER-PartnerCommunication</v>
      </c>
      <c r="E316" t="s">
        <v>834</v>
      </c>
      <c r="F316" t="s">
        <v>529</v>
      </c>
      <c r="I316">
        <f t="shared" si="12"/>
        <v>0</v>
      </c>
      <c r="L316" s="9">
        <v>46059</v>
      </c>
      <c r="M316" s="9">
        <v>46072</v>
      </c>
      <c r="N316" s="18">
        <f t="shared" ca="1" si="13"/>
        <v>13</v>
      </c>
      <c r="O316" s="9">
        <v>46073</v>
      </c>
      <c r="P316" s="9" t="str">
        <f t="shared" si="14"/>
        <v>✅ Ja</v>
      </c>
      <c r="Q316" t="s">
        <v>846</v>
      </c>
      <c r="S316" t="s">
        <v>839</v>
      </c>
      <c r="T316" t="s">
        <v>540</v>
      </c>
      <c r="U316" t="s">
        <v>609</v>
      </c>
    </row>
    <row r="317" spans="2:21" x14ac:dyDescent="0.25">
      <c r="B317" t="s">
        <v>158</v>
      </c>
      <c r="C317" t="s">
        <v>495</v>
      </c>
      <c r="D317" t="str">
        <f>IF(_xlfn.XLOOKUP(C317, ABZ!A:A, ABZ!B:B, "", 0) = 0, "", _xlfn.XLOOKUP(C317, ABZ!A:A, ABZ!B:B, "", 0))</f>
        <v>VTR-CS-SER-PartnerCommunication</v>
      </c>
      <c r="E317" t="s">
        <v>834</v>
      </c>
      <c r="F317" t="s">
        <v>529</v>
      </c>
      <c r="I317">
        <f t="shared" si="12"/>
        <v>0</v>
      </c>
      <c r="L317" s="9">
        <v>46059</v>
      </c>
      <c r="M317" s="9">
        <v>46072</v>
      </c>
      <c r="N317" s="18">
        <f t="shared" ca="1" si="13"/>
        <v>13</v>
      </c>
      <c r="O317" s="9">
        <v>46073</v>
      </c>
      <c r="P317" s="9" t="str">
        <f t="shared" si="14"/>
        <v>✅ Ja</v>
      </c>
      <c r="Q317" t="s">
        <v>846</v>
      </c>
      <c r="S317" t="s">
        <v>839</v>
      </c>
      <c r="T317" t="s">
        <v>540</v>
      </c>
      <c r="U317" t="s">
        <v>609</v>
      </c>
    </row>
    <row r="318" spans="2:21" x14ac:dyDescent="0.25">
      <c r="B318" t="s">
        <v>159</v>
      </c>
      <c r="C318" t="s">
        <v>495</v>
      </c>
      <c r="D318" t="str">
        <f>IF(_xlfn.XLOOKUP(C318, ABZ!A:A, ABZ!B:B, "", 0) = 0, "", _xlfn.XLOOKUP(C318, ABZ!A:A, ABZ!B:B, "", 0))</f>
        <v>VTR-CS-SER-PartnerCommunication</v>
      </c>
      <c r="E318" t="s">
        <v>834</v>
      </c>
      <c r="F318" t="s">
        <v>529</v>
      </c>
      <c r="I318">
        <f t="shared" si="12"/>
        <v>0</v>
      </c>
      <c r="L318" s="9">
        <v>46059</v>
      </c>
      <c r="M318" s="9">
        <v>46072</v>
      </c>
      <c r="N318" s="18">
        <f t="shared" ca="1" si="13"/>
        <v>13</v>
      </c>
      <c r="O318" s="9">
        <v>46073</v>
      </c>
      <c r="P318" s="9" t="str">
        <f t="shared" si="14"/>
        <v>✅ Ja</v>
      </c>
      <c r="Q318" t="s">
        <v>846</v>
      </c>
      <c r="S318" t="s">
        <v>839</v>
      </c>
      <c r="T318" t="s">
        <v>540</v>
      </c>
      <c r="U318" t="s">
        <v>609</v>
      </c>
    </row>
    <row r="319" spans="2:21" x14ac:dyDescent="0.25">
      <c r="B319" t="s">
        <v>160</v>
      </c>
      <c r="C319" t="s">
        <v>495</v>
      </c>
      <c r="D319" t="str">
        <f>IF(_xlfn.XLOOKUP(C319, ABZ!A:A, ABZ!B:B, "", 0) = 0, "", _xlfn.XLOOKUP(C319, ABZ!A:A, ABZ!B:B, "", 0))</f>
        <v>VTR-CS-SER-PartnerCommunication</v>
      </c>
      <c r="E319" t="s">
        <v>834</v>
      </c>
      <c r="F319" t="s">
        <v>529</v>
      </c>
      <c r="I319">
        <f t="shared" si="12"/>
        <v>0</v>
      </c>
      <c r="L319" s="9">
        <v>46059</v>
      </c>
      <c r="M319" s="9">
        <v>46072</v>
      </c>
      <c r="N319" s="18">
        <f t="shared" ca="1" si="13"/>
        <v>13</v>
      </c>
      <c r="O319" s="9">
        <v>46073</v>
      </c>
      <c r="P319" s="9" t="str">
        <f t="shared" si="14"/>
        <v>✅ Ja</v>
      </c>
      <c r="Q319" t="s">
        <v>846</v>
      </c>
      <c r="S319" t="s">
        <v>839</v>
      </c>
      <c r="T319" t="s">
        <v>540</v>
      </c>
      <c r="U319" t="s">
        <v>609</v>
      </c>
    </row>
    <row r="320" spans="2:21" x14ac:dyDescent="0.25">
      <c r="B320" t="s">
        <v>161</v>
      </c>
      <c r="C320" t="s">
        <v>495</v>
      </c>
      <c r="D320" t="str">
        <f>IF(_xlfn.XLOOKUP(C320, ABZ!A:A, ABZ!B:B, "", 0) = 0, "", _xlfn.XLOOKUP(C320, ABZ!A:A, ABZ!B:B, "", 0))</f>
        <v>VTR-CS-SER-PartnerCommunication</v>
      </c>
      <c r="E320" t="s">
        <v>834</v>
      </c>
      <c r="F320" t="s">
        <v>529</v>
      </c>
      <c r="I320">
        <f t="shared" si="12"/>
        <v>0</v>
      </c>
      <c r="L320" s="9">
        <v>46059</v>
      </c>
      <c r="M320" s="9">
        <v>46072</v>
      </c>
      <c r="N320" s="18">
        <f t="shared" ca="1" si="13"/>
        <v>13</v>
      </c>
      <c r="O320" s="9">
        <v>46073</v>
      </c>
      <c r="P320" s="9" t="str">
        <f t="shared" si="14"/>
        <v>✅ Ja</v>
      </c>
      <c r="Q320" t="s">
        <v>846</v>
      </c>
      <c r="S320" t="s">
        <v>839</v>
      </c>
      <c r="T320" t="s">
        <v>540</v>
      </c>
      <c r="U320" t="s">
        <v>609</v>
      </c>
    </row>
    <row r="321" spans="2:21" x14ac:dyDescent="0.25">
      <c r="B321" t="s">
        <v>162</v>
      </c>
      <c r="C321" t="s">
        <v>495</v>
      </c>
      <c r="D321" t="str">
        <f>IF(_xlfn.XLOOKUP(C321, ABZ!A:A, ABZ!B:B, "", 0) = 0, "", _xlfn.XLOOKUP(C321, ABZ!A:A, ABZ!B:B, "", 0))</f>
        <v>VTR-CS-SER-PartnerCommunication</v>
      </c>
      <c r="E321" t="s">
        <v>834</v>
      </c>
      <c r="F321" t="s">
        <v>529</v>
      </c>
      <c r="I321">
        <f t="shared" si="12"/>
        <v>0</v>
      </c>
      <c r="L321" s="9">
        <v>46059</v>
      </c>
      <c r="M321" s="9">
        <v>46072</v>
      </c>
      <c r="N321" s="18">
        <f t="shared" ca="1" si="13"/>
        <v>13</v>
      </c>
      <c r="O321" s="9">
        <v>46073</v>
      </c>
      <c r="P321" s="9" t="str">
        <f t="shared" si="14"/>
        <v>✅ Ja</v>
      </c>
      <c r="Q321" t="s">
        <v>846</v>
      </c>
      <c r="S321" t="s">
        <v>839</v>
      </c>
      <c r="T321" t="s">
        <v>540</v>
      </c>
      <c r="U321" t="s">
        <v>609</v>
      </c>
    </row>
    <row r="322" spans="2:21" x14ac:dyDescent="0.25">
      <c r="B322" t="s">
        <v>163</v>
      </c>
      <c r="C322" t="s">
        <v>495</v>
      </c>
      <c r="D322" t="str">
        <f>IF(_xlfn.XLOOKUP(C322, ABZ!A:A, ABZ!B:B, "", 0) = 0, "", _xlfn.XLOOKUP(C322, ABZ!A:A, ABZ!B:B, "", 0))</f>
        <v>VTR-CS-SER-PartnerCommunication</v>
      </c>
      <c r="E322" t="s">
        <v>834</v>
      </c>
      <c r="F322" t="s">
        <v>529</v>
      </c>
      <c r="I322">
        <f t="shared" si="12"/>
        <v>0</v>
      </c>
      <c r="L322" s="9">
        <v>46059</v>
      </c>
      <c r="M322" s="9">
        <v>46072</v>
      </c>
      <c r="N322" s="18">
        <f t="shared" ca="1" si="13"/>
        <v>13</v>
      </c>
      <c r="O322" s="9">
        <v>46073</v>
      </c>
      <c r="P322" s="9" t="str">
        <f t="shared" si="14"/>
        <v>✅ Ja</v>
      </c>
      <c r="Q322" t="s">
        <v>846</v>
      </c>
      <c r="S322" t="s">
        <v>839</v>
      </c>
      <c r="T322" t="s">
        <v>540</v>
      </c>
      <c r="U322" t="s">
        <v>609</v>
      </c>
    </row>
    <row r="323" spans="2:21" x14ac:dyDescent="0.25">
      <c r="B323" t="s">
        <v>164</v>
      </c>
      <c r="C323" t="s">
        <v>495</v>
      </c>
      <c r="D323" t="str">
        <f>IF(_xlfn.XLOOKUP(C323, ABZ!A:A, ABZ!B:B, "", 0) = 0, "", _xlfn.XLOOKUP(C323, ABZ!A:A, ABZ!B:B, "", 0))</f>
        <v>VTR-CS-SER-PartnerCommunication</v>
      </c>
      <c r="E323" t="s">
        <v>834</v>
      </c>
      <c r="F323" t="s">
        <v>529</v>
      </c>
      <c r="I323">
        <f t="shared" ref="I323:I386" si="15">IF(AND(O323&lt;&gt;"",L323&lt;&gt;""),IF((O323-L323)&lt;=2,1,0),0)</f>
        <v>0</v>
      </c>
      <c r="L323" s="9">
        <v>46059</v>
      </c>
      <c r="M323" s="9">
        <v>46072</v>
      </c>
      <c r="N323" s="18">
        <f t="shared" ref="N323:N386" ca="1" si="16">IF(M323&lt;&gt;"",M323-L323,TODAY()-L323)</f>
        <v>13</v>
      </c>
      <c r="O323" s="9">
        <v>46073</v>
      </c>
      <c r="P323" s="9" t="str">
        <f t="shared" ref="P323:P386" si="17">IF(M323="","⏳ Offen",IF(M323&lt;=O323,"✅ Ja","❌ Nein"))</f>
        <v>✅ Ja</v>
      </c>
      <c r="Q323" t="s">
        <v>846</v>
      </c>
      <c r="S323" t="s">
        <v>839</v>
      </c>
      <c r="T323" t="s">
        <v>540</v>
      </c>
      <c r="U323" t="s">
        <v>609</v>
      </c>
    </row>
    <row r="324" spans="2:21" x14ac:dyDescent="0.25">
      <c r="B324" t="s">
        <v>165</v>
      </c>
      <c r="C324" t="s">
        <v>495</v>
      </c>
      <c r="D324" t="str">
        <f>IF(_xlfn.XLOOKUP(C324, ABZ!A:A, ABZ!B:B, "", 0) = 0, "", _xlfn.XLOOKUP(C324, ABZ!A:A, ABZ!B:B, "", 0))</f>
        <v>VTR-CS-SER-PartnerCommunication</v>
      </c>
      <c r="E324" t="s">
        <v>834</v>
      </c>
      <c r="F324" t="s">
        <v>529</v>
      </c>
      <c r="I324">
        <f t="shared" si="15"/>
        <v>0</v>
      </c>
      <c r="L324" s="9">
        <v>46059</v>
      </c>
      <c r="M324" s="9">
        <v>46072</v>
      </c>
      <c r="N324" s="18">
        <f t="shared" ca="1" si="16"/>
        <v>13</v>
      </c>
      <c r="O324" s="9">
        <v>46073</v>
      </c>
      <c r="P324" s="9" t="str">
        <f t="shared" si="17"/>
        <v>✅ Ja</v>
      </c>
      <c r="Q324" t="s">
        <v>846</v>
      </c>
      <c r="S324" t="s">
        <v>839</v>
      </c>
      <c r="T324" t="s">
        <v>540</v>
      </c>
      <c r="U324" t="s">
        <v>609</v>
      </c>
    </row>
    <row r="325" spans="2:21" x14ac:dyDescent="0.25">
      <c r="B325" t="s">
        <v>166</v>
      </c>
      <c r="C325" t="s">
        <v>495</v>
      </c>
      <c r="D325" t="str">
        <f>IF(_xlfn.XLOOKUP(C325, ABZ!A:A, ABZ!B:B, "", 0) = 0, "", _xlfn.XLOOKUP(C325, ABZ!A:A, ABZ!B:B, "", 0))</f>
        <v>VTR-CS-SER-PartnerCommunication</v>
      </c>
      <c r="E325" t="s">
        <v>834</v>
      </c>
      <c r="F325" t="s">
        <v>529</v>
      </c>
      <c r="I325">
        <f t="shared" si="15"/>
        <v>0</v>
      </c>
      <c r="L325" s="9">
        <v>46059</v>
      </c>
      <c r="M325" s="9">
        <v>46072</v>
      </c>
      <c r="N325" s="18">
        <f t="shared" ca="1" si="16"/>
        <v>13</v>
      </c>
      <c r="O325" s="9">
        <v>46073</v>
      </c>
      <c r="P325" s="9" t="str">
        <f t="shared" si="17"/>
        <v>✅ Ja</v>
      </c>
      <c r="Q325" t="s">
        <v>846</v>
      </c>
      <c r="S325" t="s">
        <v>839</v>
      </c>
      <c r="T325" t="s">
        <v>540</v>
      </c>
      <c r="U325" t="s">
        <v>609</v>
      </c>
    </row>
    <row r="326" spans="2:21" x14ac:dyDescent="0.25">
      <c r="B326" t="s">
        <v>167</v>
      </c>
      <c r="C326" t="s">
        <v>495</v>
      </c>
      <c r="D326" t="str">
        <f>IF(_xlfn.XLOOKUP(C326, ABZ!A:A, ABZ!B:B, "", 0) = 0, "", _xlfn.XLOOKUP(C326, ABZ!A:A, ABZ!B:B, "", 0))</f>
        <v>VTR-CS-SER-PartnerCommunication</v>
      </c>
      <c r="E326" t="s">
        <v>834</v>
      </c>
      <c r="F326" t="s">
        <v>529</v>
      </c>
      <c r="I326">
        <f t="shared" si="15"/>
        <v>0</v>
      </c>
      <c r="L326" s="9">
        <v>46059</v>
      </c>
      <c r="M326" s="9">
        <v>46072</v>
      </c>
      <c r="N326" s="18">
        <f t="shared" ca="1" si="16"/>
        <v>13</v>
      </c>
      <c r="O326" s="9">
        <v>46073</v>
      </c>
      <c r="P326" s="9" t="str">
        <f t="shared" si="17"/>
        <v>✅ Ja</v>
      </c>
      <c r="Q326" t="s">
        <v>845</v>
      </c>
      <c r="S326" t="s">
        <v>839</v>
      </c>
      <c r="T326" t="s">
        <v>540</v>
      </c>
      <c r="U326" t="s">
        <v>609</v>
      </c>
    </row>
    <row r="327" spans="2:21" x14ac:dyDescent="0.25">
      <c r="B327" t="s">
        <v>168</v>
      </c>
      <c r="C327" t="s">
        <v>495</v>
      </c>
      <c r="D327" t="str">
        <f>IF(_xlfn.XLOOKUP(C327, ABZ!A:A, ABZ!B:B, "", 0) = 0, "", _xlfn.XLOOKUP(C327, ABZ!A:A, ABZ!B:B, "", 0))</f>
        <v>VTR-CS-SER-PartnerCommunication</v>
      </c>
      <c r="E327" t="s">
        <v>834</v>
      </c>
      <c r="F327" t="s">
        <v>529</v>
      </c>
      <c r="I327">
        <f t="shared" si="15"/>
        <v>0</v>
      </c>
      <c r="L327" s="9">
        <v>46059</v>
      </c>
      <c r="M327" s="9">
        <v>46072</v>
      </c>
      <c r="N327" s="18">
        <f t="shared" ca="1" si="16"/>
        <v>13</v>
      </c>
      <c r="O327" s="9">
        <v>46073</v>
      </c>
      <c r="P327" s="9" t="str">
        <f t="shared" si="17"/>
        <v>✅ Ja</v>
      </c>
      <c r="Q327" t="s">
        <v>845</v>
      </c>
      <c r="S327" t="s">
        <v>839</v>
      </c>
      <c r="T327" t="s">
        <v>540</v>
      </c>
      <c r="U327" t="s">
        <v>610</v>
      </c>
    </row>
    <row r="328" spans="2:21" x14ac:dyDescent="0.25">
      <c r="B328" t="s">
        <v>169</v>
      </c>
      <c r="C328" t="s">
        <v>495</v>
      </c>
      <c r="D328" t="str">
        <f>IF(_xlfn.XLOOKUP(C328, ABZ!A:A, ABZ!B:B, "", 0) = 0, "", _xlfn.XLOOKUP(C328, ABZ!A:A, ABZ!B:B, "", 0))</f>
        <v>VTR-CS-SER-PartnerCommunication</v>
      </c>
      <c r="E328" t="s">
        <v>834</v>
      </c>
      <c r="F328" t="s">
        <v>529</v>
      </c>
      <c r="I328">
        <f t="shared" si="15"/>
        <v>0</v>
      </c>
      <c r="L328" s="9">
        <v>46059</v>
      </c>
      <c r="M328" s="9">
        <v>46072</v>
      </c>
      <c r="N328" s="18">
        <f t="shared" ca="1" si="16"/>
        <v>13</v>
      </c>
      <c r="O328" s="9">
        <v>46073</v>
      </c>
      <c r="P328" s="9" t="str">
        <f t="shared" si="17"/>
        <v>✅ Ja</v>
      </c>
      <c r="Q328" t="s">
        <v>845</v>
      </c>
      <c r="S328" t="s">
        <v>839</v>
      </c>
      <c r="T328" t="s">
        <v>540</v>
      </c>
      <c r="U328" t="s">
        <v>610</v>
      </c>
    </row>
    <row r="329" spans="2:21" x14ac:dyDescent="0.25">
      <c r="B329" t="s">
        <v>170</v>
      </c>
      <c r="C329" t="s">
        <v>495</v>
      </c>
      <c r="D329" t="str">
        <f>IF(_xlfn.XLOOKUP(C329, ABZ!A:A, ABZ!B:B, "", 0) = 0, "", _xlfn.XLOOKUP(C329, ABZ!A:A, ABZ!B:B, "", 0))</f>
        <v>VTR-CS-SER-PartnerCommunication</v>
      </c>
      <c r="E329" t="s">
        <v>834</v>
      </c>
      <c r="F329" t="s">
        <v>529</v>
      </c>
      <c r="I329">
        <f t="shared" si="15"/>
        <v>0</v>
      </c>
      <c r="L329" s="9">
        <v>46059</v>
      </c>
      <c r="M329" s="9">
        <v>46072</v>
      </c>
      <c r="N329" s="18">
        <f t="shared" ca="1" si="16"/>
        <v>13</v>
      </c>
      <c r="O329" s="9">
        <v>46073</v>
      </c>
      <c r="P329" s="9" t="str">
        <f t="shared" si="17"/>
        <v>✅ Ja</v>
      </c>
      <c r="Q329" t="s">
        <v>845</v>
      </c>
      <c r="S329" t="s">
        <v>839</v>
      </c>
      <c r="T329" t="s">
        <v>540</v>
      </c>
      <c r="U329" t="s">
        <v>610</v>
      </c>
    </row>
    <row r="330" spans="2:21" x14ac:dyDescent="0.25">
      <c r="B330" t="s">
        <v>171</v>
      </c>
      <c r="C330" t="s">
        <v>495</v>
      </c>
      <c r="D330" t="str">
        <f>IF(_xlfn.XLOOKUP(C330, ABZ!A:A, ABZ!B:B, "", 0) = 0, "", _xlfn.XLOOKUP(C330, ABZ!A:A, ABZ!B:B, "", 0))</f>
        <v>VTR-CS-SER-PartnerCommunication</v>
      </c>
      <c r="E330" t="s">
        <v>834</v>
      </c>
      <c r="F330" t="s">
        <v>529</v>
      </c>
      <c r="I330">
        <f t="shared" si="15"/>
        <v>0</v>
      </c>
      <c r="L330" s="9">
        <v>46059</v>
      </c>
      <c r="M330" s="9">
        <v>46072</v>
      </c>
      <c r="N330" s="18">
        <f t="shared" ca="1" si="16"/>
        <v>13</v>
      </c>
      <c r="O330" s="9">
        <v>46073</v>
      </c>
      <c r="P330" s="9" t="str">
        <f t="shared" si="17"/>
        <v>✅ Ja</v>
      </c>
      <c r="Q330" t="s">
        <v>845</v>
      </c>
      <c r="S330" t="s">
        <v>839</v>
      </c>
      <c r="T330" t="s">
        <v>540</v>
      </c>
      <c r="U330" t="s">
        <v>610</v>
      </c>
    </row>
    <row r="331" spans="2:21" x14ac:dyDescent="0.25">
      <c r="B331" t="s">
        <v>172</v>
      </c>
      <c r="C331" t="s">
        <v>495</v>
      </c>
      <c r="D331" t="str">
        <f>IF(_xlfn.XLOOKUP(C331, ABZ!A:A, ABZ!B:B, "", 0) = 0, "", _xlfn.XLOOKUP(C331, ABZ!A:A, ABZ!B:B, "", 0))</f>
        <v>VTR-CS-SER-PartnerCommunication</v>
      </c>
      <c r="E331" t="s">
        <v>834</v>
      </c>
      <c r="F331" t="s">
        <v>529</v>
      </c>
      <c r="I331">
        <f t="shared" si="15"/>
        <v>0</v>
      </c>
      <c r="L331" s="9">
        <v>46059</v>
      </c>
      <c r="M331" s="9">
        <v>46072</v>
      </c>
      <c r="N331" s="18">
        <f t="shared" ca="1" si="16"/>
        <v>13</v>
      </c>
      <c r="O331" s="9">
        <v>46073</v>
      </c>
      <c r="P331" s="9" t="str">
        <f t="shared" si="17"/>
        <v>✅ Ja</v>
      </c>
      <c r="Q331" t="s">
        <v>845</v>
      </c>
      <c r="S331" t="s">
        <v>839</v>
      </c>
      <c r="T331" t="s">
        <v>540</v>
      </c>
      <c r="U331" t="s">
        <v>610</v>
      </c>
    </row>
    <row r="332" spans="2:21" x14ac:dyDescent="0.25">
      <c r="B332" t="s">
        <v>173</v>
      </c>
      <c r="C332" t="s">
        <v>495</v>
      </c>
      <c r="D332" t="str">
        <f>IF(_xlfn.XLOOKUP(C332, ABZ!A:A, ABZ!B:B, "", 0) = 0, "", _xlfn.XLOOKUP(C332, ABZ!A:A, ABZ!B:B, "", 0))</f>
        <v>VTR-CS-SER-PartnerCommunication</v>
      </c>
      <c r="E332" t="s">
        <v>834</v>
      </c>
      <c r="F332" t="s">
        <v>529</v>
      </c>
      <c r="I332">
        <f t="shared" si="15"/>
        <v>0</v>
      </c>
      <c r="L332" s="9">
        <v>46059</v>
      </c>
      <c r="M332" s="9">
        <v>46072</v>
      </c>
      <c r="N332" s="18">
        <f t="shared" ca="1" si="16"/>
        <v>13</v>
      </c>
      <c r="O332" s="9">
        <v>46073</v>
      </c>
      <c r="P332" s="9" t="str">
        <f t="shared" si="17"/>
        <v>✅ Ja</v>
      </c>
      <c r="Q332" t="s">
        <v>845</v>
      </c>
      <c r="S332" t="s">
        <v>839</v>
      </c>
      <c r="T332" t="s">
        <v>540</v>
      </c>
      <c r="U332" t="s">
        <v>610</v>
      </c>
    </row>
    <row r="333" spans="2:21" x14ac:dyDescent="0.25">
      <c r="B333" t="s">
        <v>174</v>
      </c>
      <c r="C333" t="s">
        <v>495</v>
      </c>
      <c r="D333" t="str">
        <f>IF(_xlfn.XLOOKUP(C333, ABZ!A:A, ABZ!B:B, "", 0) = 0, "", _xlfn.XLOOKUP(C333, ABZ!A:A, ABZ!B:B, "", 0))</f>
        <v>VTR-CS-SER-PartnerCommunication</v>
      </c>
      <c r="E333" t="s">
        <v>834</v>
      </c>
      <c r="F333" t="s">
        <v>529</v>
      </c>
      <c r="I333">
        <f t="shared" si="15"/>
        <v>0</v>
      </c>
      <c r="L333" s="9">
        <v>46059</v>
      </c>
      <c r="M333" s="9">
        <v>46072</v>
      </c>
      <c r="N333" s="18">
        <f t="shared" ca="1" si="16"/>
        <v>13</v>
      </c>
      <c r="O333" s="9">
        <v>46073</v>
      </c>
      <c r="P333" s="9" t="str">
        <f t="shared" si="17"/>
        <v>✅ Ja</v>
      </c>
      <c r="Q333" t="s">
        <v>845</v>
      </c>
      <c r="S333" t="s">
        <v>839</v>
      </c>
      <c r="T333" t="s">
        <v>540</v>
      </c>
      <c r="U333" t="s">
        <v>610</v>
      </c>
    </row>
    <row r="334" spans="2:21" x14ac:dyDescent="0.25">
      <c r="B334" t="s">
        <v>175</v>
      </c>
      <c r="C334" t="s">
        <v>495</v>
      </c>
      <c r="D334" t="str">
        <f>IF(_xlfn.XLOOKUP(C334, ABZ!A:A, ABZ!B:B, "", 0) = 0, "", _xlfn.XLOOKUP(C334, ABZ!A:A, ABZ!B:B, "", 0))</f>
        <v>VTR-CS-SER-PartnerCommunication</v>
      </c>
      <c r="E334" t="s">
        <v>834</v>
      </c>
      <c r="F334" t="s">
        <v>529</v>
      </c>
      <c r="I334">
        <f t="shared" si="15"/>
        <v>0</v>
      </c>
      <c r="L334" s="9">
        <v>46059</v>
      </c>
      <c r="M334" s="9">
        <v>46072</v>
      </c>
      <c r="N334" s="18">
        <f t="shared" ca="1" si="16"/>
        <v>13</v>
      </c>
      <c r="O334" s="9">
        <v>46073</v>
      </c>
      <c r="P334" s="9" t="str">
        <f t="shared" si="17"/>
        <v>✅ Ja</v>
      </c>
      <c r="Q334" t="s">
        <v>845</v>
      </c>
      <c r="S334" t="s">
        <v>839</v>
      </c>
      <c r="T334" t="s">
        <v>540</v>
      </c>
      <c r="U334" t="s">
        <v>610</v>
      </c>
    </row>
    <row r="335" spans="2:21" x14ac:dyDescent="0.25">
      <c r="B335" t="s">
        <v>176</v>
      </c>
      <c r="C335" t="s">
        <v>495</v>
      </c>
      <c r="D335" t="str">
        <f>IF(_xlfn.XLOOKUP(C335, ABZ!A:A, ABZ!B:B, "", 0) = 0, "", _xlfn.XLOOKUP(C335, ABZ!A:A, ABZ!B:B, "", 0))</f>
        <v>VTR-CS-SER-PartnerCommunication</v>
      </c>
      <c r="E335" t="s">
        <v>834</v>
      </c>
      <c r="F335" t="s">
        <v>529</v>
      </c>
      <c r="I335">
        <f t="shared" si="15"/>
        <v>0</v>
      </c>
      <c r="L335" s="9">
        <v>46059</v>
      </c>
      <c r="M335" s="9">
        <v>46072</v>
      </c>
      <c r="N335" s="18">
        <f t="shared" ca="1" si="16"/>
        <v>13</v>
      </c>
      <c r="O335" s="9">
        <v>46073</v>
      </c>
      <c r="P335" s="9" t="str">
        <f t="shared" si="17"/>
        <v>✅ Ja</v>
      </c>
      <c r="Q335" t="s">
        <v>845</v>
      </c>
      <c r="S335" t="s">
        <v>839</v>
      </c>
      <c r="T335" t="s">
        <v>540</v>
      </c>
      <c r="U335" t="s">
        <v>610</v>
      </c>
    </row>
    <row r="336" spans="2:21" x14ac:dyDescent="0.25">
      <c r="B336" t="s">
        <v>177</v>
      </c>
      <c r="C336" t="s">
        <v>495</v>
      </c>
      <c r="D336" t="str">
        <f>IF(_xlfn.XLOOKUP(C336, ABZ!A:A, ABZ!B:B, "", 0) = 0, "", _xlfn.XLOOKUP(C336, ABZ!A:A, ABZ!B:B, "", 0))</f>
        <v>VTR-CS-SER-PartnerCommunication</v>
      </c>
      <c r="E336" t="s">
        <v>834</v>
      </c>
      <c r="F336" t="s">
        <v>529</v>
      </c>
      <c r="I336">
        <f t="shared" si="15"/>
        <v>0</v>
      </c>
      <c r="L336" s="9">
        <v>46059</v>
      </c>
      <c r="M336" s="9">
        <v>46072</v>
      </c>
      <c r="N336" s="18">
        <f t="shared" ca="1" si="16"/>
        <v>13</v>
      </c>
      <c r="O336" s="9">
        <v>46073</v>
      </c>
      <c r="P336" s="9" t="str">
        <f t="shared" si="17"/>
        <v>✅ Ja</v>
      </c>
      <c r="Q336" t="s">
        <v>845</v>
      </c>
      <c r="S336" t="s">
        <v>839</v>
      </c>
      <c r="T336" t="s">
        <v>540</v>
      </c>
      <c r="U336" t="s">
        <v>610</v>
      </c>
    </row>
    <row r="337" spans="2:21" x14ac:dyDescent="0.25">
      <c r="B337" t="s">
        <v>178</v>
      </c>
      <c r="C337" t="s">
        <v>495</v>
      </c>
      <c r="D337" t="str">
        <f>IF(_xlfn.XLOOKUP(C337, ABZ!A:A, ABZ!B:B, "", 0) = 0, "", _xlfn.XLOOKUP(C337, ABZ!A:A, ABZ!B:B, "", 0))</f>
        <v>VTR-CS-SER-PartnerCommunication</v>
      </c>
      <c r="E337" t="s">
        <v>834</v>
      </c>
      <c r="F337" t="s">
        <v>529</v>
      </c>
      <c r="I337">
        <f t="shared" si="15"/>
        <v>0</v>
      </c>
      <c r="L337" s="9">
        <v>46059</v>
      </c>
      <c r="M337" s="9">
        <v>46072</v>
      </c>
      <c r="N337" s="18">
        <f t="shared" ca="1" si="16"/>
        <v>13</v>
      </c>
      <c r="O337" s="9">
        <v>46073</v>
      </c>
      <c r="P337" s="9" t="str">
        <f t="shared" si="17"/>
        <v>✅ Ja</v>
      </c>
      <c r="Q337" t="s">
        <v>845</v>
      </c>
      <c r="S337" t="s">
        <v>839</v>
      </c>
      <c r="T337" t="s">
        <v>540</v>
      </c>
      <c r="U337" t="s">
        <v>610</v>
      </c>
    </row>
    <row r="338" spans="2:21" x14ac:dyDescent="0.25">
      <c r="B338" t="s">
        <v>179</v>
      </c>
      <c r="C338" t="s">
        <v>462</v>
      </c>
      <c r="D338" t="str">
        <f>IF(_xlfn.XLOOKUP(C338, ABZ!A:A, ABZ!B:B, "", 0) = 0, "", _xlfn.XLOOKUP(C338, ABZ!A:A, ABZ!B:B, "", 0))</f>
        <v>SUP-TCO-KnowledgeManagement</v>
      </c>
      <c r="E338" t="s">
        <v>834</v>
      </c>
      <c r="F338" t="s">
        <v>529</v>
      </c>
      <c r="I338">
        <f t="shared" si="15"/>
        <v>0</v>
      </c>
      <c r="L338" s="9">
        <v>46059</v>
      </c>
      <c r="M338" s="9">
        <v>46084</v>
      </c>
      <c r="N338" s="18">
        <f t="shared" ca="1" si="16"/>
        <v>25</v>
      </c>
      <c r="O338" s="9">
        <v>46078</v>
      </c>
      <c r="P338" s="9" t="str">
        <f t="shared" si="17"/>
        <v>❌ Nein</v>
      </c>
      <c r="Q338" t="s">
        <v>846</v>
      </c>
      <c r="S338" t="s">
        <v>838</v>
      </c>
      <c r="T338" t="s">
        <v>540</v>
      </c>
      <c r="U338" t="s">
        <v>611</v>
      </c>
    </row>
    <row r="339" spans="2:21" x14ac:dyDescent="0.25">
      <c r="B339" t="s">
        <v>179</v>
      </c>
      <c r="C339" t="s">
        <v>462</v>
      </c>
      <c r="D339" t="str">
        <f>IF(_xlfn.XLOOKUP(C339, ABZ!A:A, ABZ!B:B, "", 0) = 0, "", _xlfn.XLOOKUP(C339, ABZ!A:A, ABZ!B:B, "", 0))</f>
        <v>SUP-TCO-KnowledgeManagement</v>
      </c>
      <c r="E339" t="s">
        <v>834</v>
      </c>
      <c r="F339" t="s">
        <v>527</v>
      </c>
      <c r="I339">
        <f t="shared" si="15"/>
        <v>0</v>
      </c>
      <c r="L339" s="9">
        <v>46059</v>
      </c>
      <c r="M339" s="9">
        <v>46084</v>
      </c>
      <c r="N339" s="18">
        <f t="shared" ca="1" si="16"/>
        <v>25</v>
      </c>
      <c r="O339" s="9">
        <v>46078</v>
      </c>
      <c r="P339" s="9" t="str">
        <f t="shared" si="17"/>
        <v>❌ Nein</v>
      </c>
      <c r="Q339" t="s">
        <v>839</v>
      </c>
      <c r="S339" t="s">
        <v>838</v>
      </c>
      <c r="T339" t="s">
        <v>540</v>
      </c>
      <c r="U339" t="s">
        <v>611</v>
      </c>
    </row>
    <row r="340" spans="2:21" x14ac:dyDescent="0.25">
      <c r="B340" t="s">
        <v>179</v>
      </c>
      <c r="C340" t="s">
        <v>462</v>
      </c>
      <c r="D340" t="str">
        <f>IF(_xlfn.XLOOKUP(C340, ABZ!A:A, ABZ!B:B, "", 0) = 0, "", _xlfn.XLOOKUP(C340, ABZ!A:A, ABZ!B:B, "", 0))</f>
        <v>SUP-TCO-KnowledgeManagement</v>
      </c>
      <c r="E340" t="s">
        <v>834</v>
      </c>
      <c r="F340" t="s">
        <v>531</v>
      </c>
      <c r="I340">
        <f t="shared" si="15"/>
        <v>0</v>
      </c>
      <c r="L340" s="9">
        <v>46059</v>
      </c>
      <c r="M340" s="9">
        <v>46070</v>
      </c>
      <c r="N340" s="18">
        <f t="shared" ca="1" si="16"/>
        <v>11</v>
      </c>
      <c r="O340" s="9">
        <v>46078</v>
      </c>
      <c r="P340" s="9" t="str">
        <f t="shared" si="17"/>
        <v>✅ Ja</v>
      </c>
      <c r="Q340" t="s">
        <v>840</v>
      </c>
      <c r="S340" t="s">
        <v>838</v>
      </c>
      <c r="T340" t="s">
        <v>540</v>
      </c>
      <c r="U340" t="s">
        <v>611</v>
      </c>
    </row>
    <row r="341" spans="2:21" x14ac:dyDescent="0.25">
      <c r="B341" t="s">
        <v>179</v>
      </c>
      <c r="C341" t="s">
        <v>462</v>
      </c>
      <c r="D341" t="str">
        <f>IF(_xlfn.XLOOKUP(C341, ABZ!A:A, ABZ!B:B, "", 0) = 0, "", _xlfn.XLOOKUP(C341, ABZ!A:A, ABZ!B:B, "", 0))</f>
        <v>SUP-TCO-KnowledgeManagement</v>
      </c>
      <c r="E341" t="s">
        <v>834</v>
      </c>
      <c r="F341" t="s">
        <v>528</v>
      </c>
      <c r="I341">
        <f t="shared" si="15"/>
        <v>0</v>
      </c>
      <c r="J341" t="s">
        <v>875</v>
      </c>
      <c r="K341" t="s">
        <v>860</v>
      </c>
      <c r="L341" s="9">
        <v>46059</v>
      </c>
      <c r="M341" s="9">
        <v>46084</v>
      </c>
      <c r="N341" s="18">
        <f t="shared" ca="1" si="16"/>
        <v>25</v>
      </c>
      <c r="O341" s="9">
        <v>46078</v>
      </c>
      <c r="P341" s="9" t="str">
        <f t="shared" si="17"/>
        <v>❌ Nein</v>
      </c>
      <c r="Q341" t="s">
        <v>841</v>
      </c>
      <c r="S341" t="s">
        <v>838</v>
      </c>
      <c r="T341" t="s">
        <v>540</v>
      </c>
      <c r="U341" t="s">
        <v>611</v>
      </c>
    </row>
    <row r="342" spans="2:21" x14ac:dyDescent="0.25">
      <c r="B342" t="s">
        <v>179</v>
      </c>
      <c r="C342" t="s">
        <v>462</v>
      </c>
      <c r="D342" t="str">
        <f>IF(_xlfn.XLOOKUP(C342, ABZ!A:A, ABZ!B:B, "", 0) = 0, "", _xlfn.XLOOKUP(C342, ABZ!A:A, ABZ!B:B, "", 0))</f>
        <v>SUP-TCO-KnowledgeManagement</v>
      </c>
      <c r="E342" t="s">
        <v>834</v>
      </c>
      <c r="F342" t="s">
        <v>527</v>
      </c>
      <c r="I342">
        <f t="shared" si="15"/>
        <v>0</v>
      </c>
      <c r="J342" t="s">
        <v>875</v>
      </c>
      <c r="K342" t="s">
        <v>860</v>
      </c>
      <c r="L342" s="9">
        <v>46059</v>
      </c>
      <c r="M342" s="9">
        <v>46084</v>
      </c>
      <c r="N342" s="18">
        <f t="shared" ca="1" si="16"/>
        <v>25</v>
      </c>
      <c r="O342" s="9">
        <v>46078</v>
      </c>
      <c r="P342" s="9" t="str">
        <f t="shared" si="17"/>
        <v>❌ Nein</v>
      </c>
      <c r="Q342" t="s">
        <v>836</v>
      </c>
      <c r="S342" t="s">
        <v>838</v>
      </c>
      <c r="T342" t="s">
        <v>540</v>
      </c>
      <c r="U342" t="s">
        <v>611</v>
      </c>
    </row>
    <row r="343" spans="2:21" x14ac:dyDescent="0.25">
      <c r="B343" t="s">
        <v>179</v>
      </c>
      <c r="C343" t="s">
        <v>462</v>
      </c>
      <c r="D343" t="str">
        <f>IF(_xlfn.XLOOKUP(C343, ABZ!A:A, ABZ!B:B, "", 0) = 0, "", _xlfn.XLOOKUP(C343, ABZ!A:A, ABZ!B:B, "", 0))</f>
        <v>SUP-TCO-KnowledgeManagement</v>
      </c>
      <c r="E343" t="s">
        <v>834</v>
      </c>
      <c r="F343" t="s">
        <v>535</v>
      </c>
      <c r="I343">
        <f t="shared" si="15"/>
        <v>0</v>
      </c>
      <c r="J343" t="s">
        <v>875</v>
      </c>
      <c r="K343" t="s">
        <v>860</v>
      </c>
      <c r="L343" s="9">
        <v>46059</v>
      </c>
      <c r="M343" s="9">
        <v>46084</v>
      </c>
      <c r="N343" s="18">
        <f t="shared" ca="1" si="16"/>
        <v>25</v>
      </c>
      <c r="O343" s="9">
        <v>46078</v>
      </c>
      <c r="P343" s="9" t="str">
        <f t="shared" si="17"/>
        <v>❌ Nein</v>
      </c>
      <c r="Q343" t="s">
        <v>842</v>
      </c>
      <c r="S343" t="s">
        <v>838</v>
      </c>
      <c r="T343" t="s">
        <v>540</v>
      </c>
      <c r="U343" t="s">
        <v>611</v>
      </c>
    </row>
    <row r="344" spans="2:21" x14ac:dyDescent="0.25">
      <c r="B344" t="s">
        <v>180</v>
      </c>
      <c r="C344" t="s">
        <v>466</v>
      </c>
      <c r="D344" t="str">
        <f>IF(_xlfn.XLOOKUP(C344, ABZ!A:A, ABZ!B:B, "", 0) = 0, "", _xlfn.XLOOKUP(C344, ABZ!A:A, ABZ!B:B, "", 0))</f>
        <v>VTR-CS-SER-PartnerCommunication</v>
      </c>
      <c r="E344" t="s">
        <v>835</v>
      </c>
      <c r="F344" t="s">
        <v>532</v>
      </c>
      <c r="H344">
        <v>1</v>
      </c>
      <c r="I344">
        <f t="shared" si="15"/>
        <v>1</v>
      </c>
      <c r="J344" t="s">
        <v>875</v>
      </c>
      <c r="K344" t="s">
        <v>860</v>
      </c>
      <c r="L344" s="9">
        <v>46365</v>
      </c>
      <c r="M344" s="9">
        <v>46064</v>
      </c>
      <c r="N344" s="18">
        <f t="shared" ca="1" si="16"/>
        <v>-301</v>
      </c>
      <c r="O344" s="9">
        <v>46065</v>
      </c>
      <c r="P344" s="9" t="str">
        <f t="shared" si="17"/>
        <v>✅ Ja</v>
      </c>
      <c r="Q344" t="s">
        <v>838</v>
      </c>
      <c r="S344" t="s">
        <v>838</v>
      </c>
      <c r="T344" t="s">
        <v>540</v>
      </c>
    </row>
    <row r="345" spans="2:21" x14ac:dyDescent="0.25">
      <c r="B345" t="s">
        <v>181</v>
      </c>
      <c r="C345" t="s">
        <v>466</v>
      </c>
      <c r="D345" t="str">
        <f>IF(_xlfn.XLOOKUP(C345, ABZ!A:A, ABZ!B:B, "", 0) = 0, "", _xlfn.XLOOKUP(C345, ABZ!A:A, ABZ!B:B, "", 0))</f>
        <v>VTR-CS-SER-PartnerCommunication</v>
      </c>
      <c r="E345" t="s">
        <v>835</v>
      </c>
      <c r="F345" t="s">
        <v>532</v>
      </c>
      <c r="H345">
        <v>1</v>
      </c>
      <c r="I345">
        <f t="shared" si="15"/>
        <v>1</v>
      </c>
      <c r="J345" t="s">
        <v>875</v>
      </c>
      <c r="K345" t="s">
        <v>860</v>
      </c>
      <c r="L345" s="9">
        <v>46365</v>
      </c>
      <c r="M345" s="9">
        <v>46062</v>
      </c>
      <c r="N345" s="18">
        <f t="shared" ca="1" si="16"/>
        <v>-303</v>
      </c>
      <c r="O345" s="9">
        <v>46065</v>
      </c>
      <c r="P345" s="9" t="str">
        <f t="shared" si="17"/>
        <v>✅ Ja</v>
      </c>
      <c r="Q345" t="s">
        <v>838</v>
      </c>
      <c r="S345" t="s">
        <v>838</v>
      </c>
      <c r="T345" t="s">
        <v>540</v>
      </c>
    </row>
    <row r="346" spans="2:21" x14ac:dyDescent="0.25">
      <c r="B346" t="s">
        <v>182</v>
      </c>
      <c r="C346" t="s">
        <v>496</v>
      </c>
      <c r="D346" t="str">
        <f>IF(_xlfn.XLOOKUP(C346, ABZ!A:A, ABZ!B:B, "", 0) = 0, "", _xlfn.XLOOKUP(C346, ABZ!A:A, ABZ!B:B, "", 0))</f>
        <v>SUP-KS-TeamJonas</v>
      </c>
      <c r="E346" t="s">
        <v>834</v>
      </c>
      <c r="F346" t="s">
        <v>535</v>
      </c>
      <c r="I346">
        <f t="shared" si="15"/>
        <v>1</v>
      </c>
      <c r="J346" t="s">
        <v>875</v>
      </c>
      <c r="K346" t="s">
        <v>860</v>
      </c>
      <c r="L346" s="9">
        <v>46062</v>
      </c>
      <c r="M346" s="9">
        <v>46062</v>
      </c>
      <c r="N346" s="18">
        <f t="shared" ca="1" si="16"/>
        <v>0</v>
      </c>
      <c r="O346" s="9">
        <v>46062</v>
      </c>
      <c r="P346" s="9" t="str">
        <f t="shared" si="17"/>
        <v>✅ Ja</v>
      </c>
      <c r="Q346" t="s">
        <v>842</v>
      </c>
      <c r="S346" t="s">
        <v>838</v>
      </c>
      <c r="T346" t="s">
        <v>540</v>
      </c>
      <c r="U346" t="s">
        <v>594</v>
      </c>
    </row>
    <row r="347" spans="2:21" x14ac:dyDescent="0.25">
      <c r="B347" t="s">
        <v>183</v>
      </c>
      <c r="C347" t="s">
        <v>487</v>
      </c>
      <c r="D347" t="str">
        <f>IF(_xlfn.XLOOKUP(C347, ABZ!A:A, ABZ!B:B, "", 0) = 0, "", _xlfn.XLOOKUP(C347, ABZ!A:A, ABZ!B:B, "", 0))</f>
        <v>ENT-UIC-JS3</v>
      </c>
      <c r="E347" t="s">
        <v>834</v>
      </c>
      <c r="F347" t="s">
        <v>529</v>
      </c>
      <c r="G347">
        <v>1250</v>
      </c>
      <c r="I347">
        <f t="shared" si="15"/>
        <v>0</v>
      </c>
      <c r="J347" t="s">
        <v>875</v>
      </c>
      <c r="K347" t="s">
        <v>876</v>
      </c>
      <c r="L347" s="9">
        <v>46062</v>
      </c>
      <c r="M347" s="9">
        <v>46064</v>
      </c>
      <c r="N347" s="18">
        <f t="shared" ca="1" si="16"/>
        <v>2</v>
      </c>
      <c r="O347" s="9">
        <v>46066</v>
      </c>
      <c r="P347" s="9" t="str">
        <f t="shared" si="17"/>
        <v>✅ Ja</v>
      </c>
      <c r="Q347" t="s">
        <v>846</v>
      </c>
      <c r="S347" t="s">
        <v>841</v>
      </c>
      <c r="T347" t="s">
        <v>540</v>
      </c>
      <c r="U347" t="s">
        <v>612</v>
      </c>
    </row>
    <row r="348" spans="2:21" x14ac:dyDescent="0.25">
      <c r="B348" t="s">
        <v>183</v>
      </c>
      <c r="C348" t="s">
        <v>487</v>
      </c>
      <c r="D348" t="str">
        <f>IF(_xlfn.XLOOKUP(C348, ABZ!A:A, ABZ!B:B, "", 0) = 0, "", _xlfn.XLOOKUP(C348, ABZ!A:A, ABZ!B:B, "", 0))</f>
        <v>ENT-UIC-JS3</v>
      </c>
      <c r="E348" t="s">
        <v>834</v>
      </c>
      <c r="F348" t="s">
        <v>527</v>
      </c>
      <c r="G348">
        <v>1250</v>
      </c>
      <c r="I348">
        <f t="shared" si="15"/>
        <v>0</v>
      </c>
      <c r="J348" t="s">
        <v>875</v>
      </c>
      <c r="K348" t="s">
        <v>876</v>
      </c>
      <c r="L348" s="9">
        <v>46062</v>
      </c>
      <c r="M348" s="9">
        <v>46064</v>
      </c>
      <c r="N348" s="18">
        <f t="shared" ca="1" si="16"/>
        <v>2</v>
      </c>
      <c r="O348" s="9">
        <v>46066</v>
      </c>
      <c r="P348" s="9" t="str">
        <f t="shared" si="17"/>
        <v>✅ Ja</v>
      </c>
      <c r="Q348" t="s">
        <v>839</v>
      </c>
      <c r="S348" t="s">
        <v>841</v>
      </c>
      <c r="T348" t="s">
        <v>540</v>
      </c>
      <c r="U348" t="s">
        <v>612</v>
      </c>
    </row>
    <row r="349" spans="2:21" x14ac:dyDescent="0.25">
      <c r="B349" t="s">
        <v>183</v>
      </c>
      <c r="C349" t="s">
        <v>487</v>
      </c>
      <c r="D349" t="str">
        <f>IF(_xlfn.XLOOKUP(C349, ABZ!A:A, ABZ!B:B, "", 0) = 0, "", _xlfn.XLOOKUP(C349, ABZ!A:A, ABZ!B:B, "", 0))</f>
        <v>ENT-UIC-JS3</v>
      </c>
      <c r="E349" t="s">
        <v>834</v>
      </c>
      <c r="F349" t="s">
        <v>531</v>
      </c>
      <c r="G349">
        <v>1250</v>
      </c>
      <c r="I349">
        <f t="shared" si="15"/>
        <v>0</v>
      </c>
      <c r="J349" t="s">
        <v>875</v>
      </c>
      <c r="K349" t="s">
        <v>877</v>
      </c>
      <c r="L349" s="9">
        <v>46062</v>
      </c>
      <c r="M349" s="9">
        <v>46064</v>
      </c>
      <c r="N349" s="18">
        <f t="shared" ca="1" si="16"/>
        <v>2</v>
      </c>
      <c r="O349" s="9">
        <v>46066</v>
      </c>
      <c r="P349" s="9" t="str">
        <f t="shared" si="17"/>
        <v>✅ Ja</v>
      </c>
      <c r="Q349" t="s">
        <v>840</v>
      </c>
      <c r="S349" t="s">
        <v>841</v>
      </c>
      <c r="T349" t="s">
        <v>540</v>
      </c>
      <c r="U349" t="s">
        <v>612</v>
      </c>
    </row>
    <row r="350" spans="2:21" x14ac:dyDescent="0.25">
      <c r="B350" t="s">
        <v>183</v>
      </c>
      <c r="C350" t="s">
        <v>487</v>
      </c>
      <c r="D350" t="str">
        <f>IF(_xlfn.XLOOKUP(C350, ABZ!A:A, ABZ!B:B, "", 0) = 0, "", _xlfn.XLOOKUP(C350, ABZ!A:A, ABZ!B:B, "", 0))</f>
        <v>ENT-UIC-JS3</v>
      </c>
      <c r="E350" t="s">
        <v>834</v>
      </c>
      <c r="F350" t="s">
        <v>528</v>
      </c>
      <c r="G350">
        <v>1250</v>
      </c>
      <c r="I350">
        <f t="shared" si="15"/>
        <v>0</v>
      </c>
      <c r="L350" s="9">
        <v>46062</v>
      </c>
      <c r="M350" s="9">
        <v>46064</v>
      </c>
      <c r="N350" s="18">
        <f t="shared" ca="1" si="16"/>
        <v>2</v>
      </c>
      <c r="O350" s="9">
        <v>46066</v>
      </c>
      <c r="P350" s="9" t="str">
        <f t="shared" si="17"/>
        <v>✅ Ja</v>
      </c>
      <c r="Q350" t="s">
        <v>841</v>
      </c>
      <c r="S350" t="s">
        <v>841</v>
      </c>
      <c r="T350" t="s">
        <v>540</v>
      </c>
      <c r="U350" t="s">
        <v>612</v>
      </c>
    </row>
    <row r="351" spans="2:21" x14ac:dyDescent="0.25">
      <c r="B351" t="s">
        <v>183</v>
      </c>
      <c r="C351" t="s">
        <v>487</v>
      </c>
      <c r="D351" t="str">
        <f>IF(_xlfn.XLOOKUP(C351, ABZ!A:A, ABZ!B:B, "", 0) = 0, "", _xlfn.XLOOKUP(C351, ABZ!A:A, ABZ!B:B, "", 0))</f>
        <v>ENT-UIC-JS3</v>
      </c>
      <c r="E351" t="s">
        <v>834</v>
      </c>
      <c r="F351" t="s">
        <v>527</v>
      </c>
      <c r="G351">
        <v>1250</v>
      </c>
      <c r="I351">
        <f t="shared" si="15"/>
        <v>0</v>
      </c>
      <c r="L351" s="9">
        <v>46062</v>
      </c>
      <c r="M351" s="9">
        <v>46064</v>
      </c>
      <c r="N351" s="18">
        <f t="shared" ca="1" si="16"/>
        <v>2</v>
      </c>
      <c r="O351" s="9">
        <v>46066</v>
      </c>
      <c r="P351" s="9" t="str">
        <f t="shared" si="17"/>
        <v>✅ Ja</v>
      </c>
      <c r="Q351" t="s">
        <v>836</v>
      </c>
      <c r="S351" t="s">
        <v>841</v>
      </c>
      <c r="T351" t="s">
        <v>540</v>
      </c>
      <c r="U351" t="s">
        <v>612</v>
      </c>
    </row>
    <row r="352" spans="2:21" x14ac:dyDescent="0.25">
      <c r="B352" t="s">
        <v>183</v>
      </c>
      <c r="C352" t="s">
        <v>487</v>
      </c>
      <c r="D352" t="str">
        <f>IF(_xlfn.XLOOKUP(C352, ABZ!A:A, ABZ!B:B, "", 0) = 0, "", _xlfn.XLOOKUP(C352, ABZ!A:A, ABZ!B:B, "", 0))</f>
        <v>ENT-UIC-JS3</v>
      </c>
      <c r="E352" t="s">
        <v>834</v>
      </c>
      <c r="F352" t="s">
        <v>535</v>
      </c>
      <c r="G352">
        <v>1250</v>
      </c>
      <c r="I352">
        <f t="shared" si="15"/>
        <v>0</v>
      </c>
      <c r="L352" s="9">
        <v>46062</v>
      </c>
      <c r="M352" s="9">
        <v>46065</v>
      </c>
      <c r="N352" s="18">
        <f t="shared" ca="1" si="16"/>
        <v>3</v>
      </c>
      <c r="O352" s="9">
        <v>46066</v>
      </c>
      <c r="P352" s="9" t="str">
        <f t="shared" si="17"/>
        <v>✅ Ja</v>
      </c>
      <c r="Q352" t="s">
        <v>842</v>
      </c>
      <c r="S352" t="s">
        <v>838</v>
      </c>
      <c r="T352" t="s">
        <v>540</v>
      </c>
      <c r="U352" t="s">
        <v>612</v>
      </c>
    </row>
    <row r="353" spans="2:21" x14ac:dyDescent="0.25">
      <c r="B353" t="s">
        <v>183</v>
      </c>
      <c r="C353" t="s">
        <v>487</v>
      </c>
      <c r="D353" t="str">
        <f>IF(_xlfn.XLOOKUP(C353, ABZ!A:A, ABZ!B:B, "", 0) = 0, "", _xlfn.XLOOKUP(C353, ABZ!A:A, ABZ!B:B, "", 0))</f>
        <v>ENT-UIC-JS3</v>
      </c>
      <c r="E353" t="s">
        <v>834</v>
      </c>
      <c r="F353" t="s">
        <v>538</v>
      </c>
      <c r="G353">
        <v>1250</v>
      </c>
      <c r="I353">
        <f t="shared" si="15"/>
        <v>0</v>
      </c>
      <c r="L353" s="9">
        <v>46062</v>
      </c>
      <c r="M353" s="9">
        <v>46065</v>
      </c>
      <c r="N353" s="18">
        <f t="shared" ca="1" si="16"/>
        <v>3</v>
      </c>
      <c r="O353" s="9">
        <v>46066</v>
      </c>
      <c r="P353" s="9" t="str">
        <f t="shared" si="17"/>
        <v>✅ Ja</v>
      </c>
      <c r="Q353" t="s">
        <v>842</v>
      </c>
      <c r="S353" t="s">
        <v>838</v>
      </c>
      <c r="T353" t="s">
        <v>540</v>
      </c>
      <c r="U353" t="s">
        <v>612</v>
      </c>
    </row>
    <row r="354" spans="2:21" x14ac:dyDescent="0.25">
      <c r="B354" t="s">
        <v>184</v>
      </c>
      <c r="C354" t="s">
        <v>493</v>
      </c>
      <c r="D354" t="str">
        <f>IF(_xlfn.XLOOKUP(C354, ABZ!A:A, ABZ!B:B, "", 0) = 0, "", _xlfn.XLOOKUP(C354, ABZ!A:A, ABZ!B:B, "", 0))</f>
        <v>SUP-TechnicalCommunication-TCO</v>
      </c>
      <c r="E354" t="s">
        <v>834</v>
      </c>
      <c r="F354" t="s">
        <v>529</v>
      </c>
      <c r="I354">
        <f t="shared" si="15"/>
        <v>1</v>
      </c>
      <c r="L354" s="9">
        <v>46062</v>
      </c>
      <c r="M354" s="9">
        <v>46063</v>
      </c>
      <c r="N354" s="18">
        <f t="shared" ca="1" si="16"/>
        <v>1</v>
      </c>
      <c r="O354" s="9">
        <v>46063</v>
      </c>
      <c r="P354" s="9" t="str">
        <f t="shared" si="17"/>
        <v>✅ Ja</v>
      </c>
      <c r="Q354" t="s">
        <v>846</v>
      </c>
      <c r="S354" t="s">
        <v>840</v>
      </c>
      <c r="T354" t="s">
        <v>540</v>
      </c>
      <c r="U354" t="s">
        <v>613</v>
      </c>
    </row>
    <row r="355" spans="2:21" x14ac:dyDescent="0.25">
      <c r="B355" t="s">
        <v>184</v>
      </c>
      <c r="C355" t="s">
        <v>493</v>
      </c>
      <c r="D355" t="str">
        <f>IF(_xlfn.XLOOKUP(C355, ABZ!A:A, ABZ!B:B, "", 0) = 0, "", _xlfn.XLOOKUP(C355, ABZ!A:A, ABZ!B:B, "", 0))</f>
        <v>SUP-TechnicalCommunication-TCO</v>
      </c>
      <c r="E355" t="s">
        <v>834</v>
      </c>
      <c r="F355" t="s">
        <v>528</v>
      </c>
      <c r="I355">
        <f t="shared" si="15"/>
        <v>1</v>
      </c>
      <c r="L355" s="9">
        <v>46062</v>
      </c>
      <c r="M355" s="9">
        <v>46063</v>
      </c>
      <c r="N355" s="18">
        <f t="shared" ca="1" si="16"/>
        <v>1</v>
      </c>
      <c r="O355" s="9">
        <v>46063</v>
      </c>
      <c r="P355" s="9" t="str">
        <f t="shared" si="17"/>
        <v>✅ Ja</v>
      </c>
      <c r="Q355" t="s">
        <v>841</v>
      </c>
      <c r="S355" t="s">
        <v>840</v>
      </c>
      <c r="T355" t="s">
        <v>540</v>
      </c>
      <c r="U355" t="s">
        <v>613</v>
      </c>
    </row>
    <row r="356" spans="2:21" x14ac:dyDescent="0.25">
      <c r="B356" t="s">
        <v>184</v>
      </c>
      <c r="C356" t="s">
        <v>493</v>
      </c>
      <c r="D356" t="str">
        <f>IF(_xlfn.XLOOKUP(C356, ABZ!A:A, ABZ!B:B, "", 0) = 0, "", _xlfn.XLOOKUP(C356, ABZ!A:A, ABZ!B:B, "", 0))</f>
        <v>SUP-TechnicalCommunication-TCO</v>
      </c>
      <c r="E356" t="s">
        <v>834</v>
      </c>
      <c r="F356" t="s">
        <v>531</v>
      </c>
      <c r="I356">
        <f t="shared" si="15"/>
        <v>1</v>
      </c>
      <c r="L356" s="9">
        <v>46062</v>
      </c>
      <c r="M356" s="9">
        <v>46063</v>
      </c>
      <c r="N356" s="18">
        <f t="shared" ca="1" si="16"/>
        <v>1</v>
      </c>
      <c r="O356" s="9">
        <v>46063</v>
      </c>
      <c r="P356" s="9" t="str">
        <f t="shared" si="17"/>
        <v>✅ Ja</v>
      </c>
      <c r="Q356" t="s">
        <v>843</v>
      </c>
      <c r="S356" t="s">
        <v>840</v>
      </c>
      <c r="T356" t="s">
        <v>540</v>
      </c>
      <c r="U356" t="s">
        <v>613</v>
      </c>
    </row>
    <row r="357" spans="2:21" x14ac:dyDescent="0.25">
      <c r="B357" t="s">
        <v>184</v>
      </c>
      <c r="C357" t="s">
        <v>493</v>
      </c>
      <c r="D357" t="str">
        <f>IF(_xlfn.XLOOKUP(C357, ABZ!A:A, ABZ!B:B, "", 0) = 0, "", _xlfn.XLOOKUP(C357, ABZ!A:A, ABZ!B:B, "", 0))</f>
        <v>SUP-TechnicalCommunication-TCO</v>
      </c>
      <c r="E357" t="s">
        <v>834</v>
      </c>
      <c r="F357" t="s">
        <v>527</v>
      </c>
      <c r="I357">
        <f t="shared" si="15"/>
        <v>1</v>
      </c>
      <c r="L357" s="9">
        <v>46062</v>
      </c>
      <c r="M357" s="9">
        <v>46063</v>
      </c>
      <c r="N357" s="18">
        <f t="shared" ca="1" si="16"/>
        <v>1</v>
      </c>
      <c r="O357" s="9">
        <v>46063</v>
      </c>
      <c r="P357" s="9" t="str">
        <f t="shared" si="17"/>
        <v>✅ Ja</v>
      </c>
      <c r="Q357" t="s">
        <v>836</v>
      </c>
      <c r="S357" t="s">
        <v>840</v>
      </c>
      <c r="T357" t="s">
        <v>540</v>
      </c>
      <c r="U357" t="s">
        <v>613</v>
      </c>
    </row>
    <row r="358" spans="2:21" x14ac:dyDescent="0.25">
      <c r="B358" t="s">
        <v>184</v>
      </c>
      <c r="C358" t="s">
        <v>493</v>
      </c>
      <c r="D358" t="str">
        <f>IF(_xlfn.XLOOKUP(C358, ABZ!A:A, ABZ!B:B, "", 0) = 0, "", _xlfn.XLOOKUP(C358, ABZ!A:A, ABZ!B:B, "", 0))</f>
        <v>SUP-TechnicalCommunication-TCO</v>
      </c>
      <c r="E358" t="s">
        <v>834</v>
      </c>
      <c r="F358" t="s">
        <v>530</v>
      </c>
      <c r="I358">
        <f t="shared" si="15"/>
        <v>1</v>
      </c>
      <c r="L358" s="9">
        <v>46062</v>
      </c>
      <c r="M358" s="9">
        <v>46063</v>
      </c>
      <c r="N358" s="18">
        <f t="shared" ca="1" si="16"/>
        <v>1</v>
      </c>
      <c r="O358" s="9">
        <v>46063</v>
      </c>
      <c r="P358" s="9" t="str">
        <f t="shared" si="17"/>
        <v>✅ Ja</v>
      </c>
      <c r="Q358" t="s">
        <v>844</v>
      </c>
      <c r="S358" t="s">
        <v>840</v>
      </c>
      <c r="T358" t="s">
        <v>540</v>
      </c>
      <c r="U358" t="s">
        <v>613</v>
      </c>
    </row>
    <row r="359" spans="2:21" x14ac:dyDescent="0.25">
      <c r="B359" t="s">
        <v>184</v>
      </c>
      <c r="C359" t="s">
        <v>493</v>
      </c>
      <c r="D359" t="str">
        <f>IF(_xlfn.XLOOKUP(C359, ABZ!A:A, ABZ!B:B, "", 0) = 0, "", _xlfn.XLOOKUP(C359, ABZ!A:A, ABZ!B:B, "", 0))</f>
        <v>SUP-TechnicalCommunication-TCO</v>
      </c>
      <c r="E359" t="s">
        <v>834</v>
      </c>
      <c r="F359" t="s">
        <v>531</v>
      </c>
      <c r="I359">
        <f t="shared" si="15"/>
        <v>0</v>
      </c>
      <c r="L359" s="9">
        <v>46062</v>
      </c>
      <c r="M359" s="9">
        <v>46091</v>
      </c>
      <c r="N359" s="18">
        <f t="shared" ca="1" si="16"/>
        <v>29</v>
      </c>
      <c r="O359" s="9">
        <v>46086</v>
      </c>
      <c r="P359" s="9" t="str">
        <f t="shared" si="17"/>
        <v>❌ Nein</v>
      </c>
      <c r="Q359" t="s">
        <v>840</v>
      </c>
      <c r="S359" t="s">
        <v>840</v>
      </c>
      <c r="T359" t="s">
        <v>540</v>
      </c>
      <c r="U359" t="s">
        <v>613</v>
      </c>
    </row>
    <row r="360" spans="2:21" x14ac:dyDescent="0.25">
      <c r="B360" t="s">
        <v>184</v>
      </c>
      <c r="C360" t="s">
        <v>493</v>
      </c>
      <c r="D360" t="str">
        <f>IF(_xlfn.XLOOKUP(C360, ABZ!A:A, ABZ!B:B, "", 0) = 0, "", _xlfn.XLOOKUP(C360, ABZ!A:A, ABZ!B:B, "", 0))</f>
        <v>SUP-TechnicalCommunication-TCO</v>
      </c>
      <c r="E360" t="s">
        <v>834</v>
      </c>
      <c r="F360" t="s">
        <v>531</v>
      </c>
      <c r="I360">
        <f t="shared" si="15"/>
        <v>0</v>
      </c>
      <c r="L360" s="9">
        <v>46062</v>
      </c>
      <c r="M360" s="9">
        <v>46091</v>
      </c>
      <c r="N360" s="18">
        <f t="shared" ca="1" si="16"/>
        <v>29</v>
      </c>
      <c r="O360" s="9">
        <v>46086</v>
      </c>
      <c r="P360" s="9" t="str">
        <f t="shared" si="17"/>
        <v>❌ Nein</v>
      </c>
      <c r="Q360" t="s">
        <v>840</v>
      </c>
      <c r="S360" t="s">
        <v>840</v>
      </c>
      <c r="T360" t="s">
        <v>540</v>
      </c>
      <c r="U360" t="s">
        <v>613</v>
      </c>
    </row>
    <row r="361" spans="2:21" x14ac:dyDescent="0.25">
      <c r="B361" t="s">
        <v>184</v>
      </c>
      <c r="C361" t="s">
        <v>493</v>
      </c>
      <c r="D361" t="str">
        <f>IF(_xlfn.XLOOKUP(C361, ABZ!A:A, ABZ!B:B, "", 0) = 0, "", _xlfn.XLOOKUP(C361, ABZ!A:A, ABZ!B:B, "", 0))</f>
        <v>SUP-TechnicalCommunication-TCO</v>
      </c>
      <c r="E361" t="s">
        <v>834</v>
      </c>
      <c r="F361" t="s">
        <v>527</v>
      </c>
      <c r="I361">
        <f t="shared" si="15"/>
        <v>0</v>
      </c>
      <c r="L361" s="9">
        <v>46062</v>
      </c>
      <c r="M361" s="9">
        <v>46083</v>
      </c>
      <c r="N361" s="18">
        <f t="shared" ca="1" si="16"/>
        <v>21</v>
      </c>
      <c r="O361" s="9">
        <v>46086</v>
      </c>
      <c r="P361" s="9" t="str">
        <f t="shared" si="17"/>
        <v>✅ Ja</v>
      </c>
      <c r="Q361" t="s">
        <v>839</v>
      </c>
      <c r="S361" t="s">
        <v>840</v>
      </c>
      <c r="T361" t="s">
        <v>540</v>
      </c>
      <c r="U361" t="s">
        <v>613</v>
      </c>
    </row>
    <row r="362" spans="2:21" x14ac:dyDescent="0.25">
      <c r="B362" t="s">
        <v>184</v>
      </c>
      <c r="C362" t="s">
        <v>493</v>
      </c>
      <c r="D362" t="str">
        <f>IF(_xlfn.XLOOKUP(C362, ABZ!A:A, ABZ!B:B, "", 0) = 0, "", _xlfn.XLOOKUP(C362, ABZ!A:A, ABZ!B:B, "", 0))</f>
        <v>SUP-TechnicalCommunication-TCO</v>
      </c>
      <c r="E362" t="s">
        <v>834</v>
      </c>
      <c r="F362" t="s">
        <v>527</v>
      </c>
      <c r="I362">
        <f t="shared" si="15"/>
        <v>0</v>
      </c>
      <c r="L362" s="9">
        <v>46062</v>
      </c>
      <c r="M362" s="9">
        <v>46083</v>
      </c>
      <c r="N362" s="18">
        <f t="shared" ca="1" si="16"/>
        <v>21</v>
      </c>
      <c r="O362" s="9">
        <v>46086</v>
      </c>
      <c r="P362" s="9" t="str">
        <f t="shared" si="17"/>
        <v>✅ Ja</v>
      </c>
      <c r="Q362" t="s">
        <v>839</v>
      </c>
      <c r="S362" t="s">
        <v>840</v>
      </c>
      <c r="T362" t="s">
        <v>540</v>
      </c>
      <c r="U362" t="s">
        <v>613</v>
      </c>
    </row>
    <row r="363" spans="2:21" x14ac:dyDescent="0.25">
      <c r="B363" t="s">
        <v>185</v>
      </c>
      <c r="C363" t="s">
        <v>493</v>
      </c>
      <c r="D363" t="str">
        <f>IF(_xlfn.XLOOKUP(C363, ABZ!A:A, ABZ!B:B, "", 0) = 0, "", _xlfn.XLOOKUP(C363, ABZ!A:A, ABZ!B:B, "", 0))</f>
        <v>SUP-TechnicalCommunication-TCO</v>
      </c>
      <c r="E363" t="s">
        <v>834</v>
      </c>
      <c r="F363" t="s">
        <v>529</v>
      </c>
      <c r="I363">
        <f t="shared" si="15"/>
        <v>1</v>
      </c>
      <c r="L363" s="9">
        <v>46062</v>
      </c>
      <c r="M363" s="9">
        <v>46063</v>
      </c>
      <c r="N363" s="18">
        <f t="shared" ca="1" si="16"/>
        <v>1</v>
      </c>
      <c r="O363" s="9">
        <v>46063</v>
      </c>
      <c r="P363" s="9" t="str">
        <f t="shared" si="17"/>
        <v>✅ Ja</v>
      </c>
      <c r="Q363" t="s">
        <v>846</v>
      </c>
      <c r="S363" t="s">
        <v>840</v>
      </c>
      <c r="T363" t="s">
        <v>540</v>
      </c>
      <c r="U363" t="s">
        <v>614</v>
      </c>
    </row>
    <row r="364" spans="2:21" x14ac:dyDescent="0.25">
      <c r="B364" t="s">
        <v>185</v>
      </c>
      <c r="C364" t="s">
        <v>493</v>
      </c>
      <c r="D364" t="str">
        <f>IF(_xlfn.XLOOKUP(C364, ABZ!A:A, ABZ!B:B, "", 0) = 0, "", _xlfn.XLOOKUP(C364, ABZ!A:A, ABZ!B:B, "", 0))</f>
        <v>SUP-TechnicalCommunication-TCO</v>
      </c>
      <c r="E364" t="s">
        <v>834</v>
      </c>
      <c r="F364" t="s">
        <v>528</v>
      </c>
      <c r="I364">
        <f t="shared" si="15"/>
        <v>1</v>
      </c>
      <c r="L364" s="9">
        <v>46062</v>
      </c>
      <c r="M364" s="9">
        <v>46063</v>
      </c>
      <c r="N364" s="18">
        <f t="shared" ca="1" si="16"/>
        <v>1</v>
      </c>
      <c r="O364" s="9">
        <v>46063</v>
      </c>
      <c r="P364" s="9" t="str">
        <f t="shared" si="17"/>
        <v>✅ Ja</v>
      </c>
      <c r="Q364" t="s">
        <v>841</v>
      </c>
      <c r="S364" t="s">
        <v>840</v>
      </c>
      <c r="T364" t="s">
        <v>540</v>
      </c>
      <c r="U364" t="s">
        <v>614</v>
      </c>
    </row>
    <row r="365" spans="2:21" x14ac:dyDescent="0.25">
      <c r="B365" t="s">
        <v>185</v>
      </c>
      <c r="C365" t="s">
        <v>493</v>
      </c>
      <c r="D365" t="str">
        <f>IF(_xlfn.XLOOKUP(C365, ABZ!A:A, ABZ!B:B, "", 0) = 0, "", _xlfn.XLOOKUP(C365, ABZ!A:A, ABZ!B:B, "", 0))</f>
        <v>SUP-TechnicalCommunication-TCO</v>
      </c>
      <c r="E365" t="s">
        <v>834</v>
      </c>
      <c r="F365" t="s">
        <v>531</v>
      </c>
      <c r="I365">
        <f t="shared" si="15"/>
        <v>1</v>
      </c>
      <c r="L365" s="9">
        <v>46062</v>
      </c>
      <c r="M365" s="9">
        <v>46063</v>
      </c>
      <c r="N365" s="18">
        <f t="shared" ca="1" si="16"/>
        <v>1</v>
      </c>
      <c r="O365" s="9">
        <v>46063</v>
      </c>
      <c r="P365" s="9" t="str">
        <f t="shared" si="17"/>
        <v>✅ Ja</v>
      </c>
      <c r="Q365" t="s">
        <v>843</v>
      </c>
      <c r="S365" t="s">
        <v>840</v>
      </c>
      <c r="T365" t="s">
        <v>540</v>
      </c>
      <c r="U365" t="s">
        <v>614</v>
      </c>
    </row>
    <row r="366" spans="2:21" x14ac:dyDescent="0.25">
      <c r="B366" t="s">
        <v>185</v>
      </c>
      <c r="C366" t="s">
        <v>493</v>
      </c>
      <c r="D366" t="str">
        <f>IF(_xlfn.XLOOKUP(C366, ABZ!A:A, ABZ!B:B, "", 0) = 0, "", _xlfn.XLOOKUP(C366, ABZ!A:A, ABZ!B:B, "", 0))</f>
        <v>SUP-TechnicalCommunication-TCO</v>
      </c>
      <c r="E366" t="s">
        <v>834</v>
      </c>
      <c r="F366" t="s">
        <v>527</v>
      </c>
      <c r="I366">
        <f t="shared" si="15"/>
        <v>1</v>
      </c>
      <c r="L366" s="9">
        <v>46062</v>
      </c>
      <c r="M366" s="9">
        <v>46063</v>
      </c>
      <c r="N366" s="18">
        <f t="shared" ca="1" si="16"/>
        <v>1</v>
      </c>
      <c r="O366" s="9">
        <v>46063</v>
      </c>
      <c r="P366" s="9" t="str">
        <f t="shared" si="17"/>
        <v>✅ Ja</v>
      </c>
      <c r="Q366" t="s">
        <v>836</v>
      </c>
      <c r="S366" t="s">
        <v>840</v>
      </c>
      <c r="T366" t="s">
        <v>540</v>
      </c>
      <c r="U366" t="s">
        <v>614</v>
      </c>
    </row>
    <row r="367" spans="2:21" x14ac:dyDescent="0.25">
      <c r="B367" t="s">
        <v>185</v>
      </c>
      <c r="C367" t="s">
        <v>493</v>
      </c>
      <c r="D367" t="str">
        <f>IF(_xlfn.XLOOKUP(C367, ABZ!A:A, ABZ!B:B, "", 0) = 0, "", _xlfn.XLOOKUP(C367, ABZ!A:A, ABZ!B:B, "", 0))</f>
        <v>SUP-TechnicalCommunication-TCO</v>
      </c>
      <c r="E367" t="s">
        <v>834</v>
      </c>
      <c r="F367" t="s">
        <v>530</v>
      </c>
      <c r="I367">
        <f t="shared" si="15"/>
        <v>1</v>
      </c>
      <c r="L367" s="9">
        <v>46062</v>
      </c>
      <c r="M367" s="9">
        <v>46063</v>
      </c>
      <c r="N367" s="18">
        <f t="shared" ca="1" si="16"/>
        <v>1</v>
      </c>
      <c r="O367" s="9">
        <v>46063</v>
      </c>
      <c r="P367" s="9" t="str">
        <f t="shared" si="17"/>
        <v>✅ Ja</v>
      </c>
      <c r="Q367" t="s">
        <v>844</v>
      </c>
      <c r="S367" t="s">
        <v>840</v>
      </c>
      <c r="T367" t="s">
        <v>540</v>
      </c>
      <c r="U367" t="s">
        <v>614</v>
      </c>
    </row>
    <row r="368" spans="2:21" x14ac:dyDescent="0.25">
      <c r="B368" t="s">
        <v>185</v>
      </c>
      <c r="C368" t="s">
        <v>493</v>
      </c>
      <c r="D368" t="str">
        <f>IF(_xlfn.XLOOKUP(C368, ABZ!A:A, ABZ!B:B, "", 0) = 0, "", _xlfn.XLOOKUP(C368, ABZ!A:A, ABZ!B:B, "", 0))</f>
        <v>SUP-TechnicalCommunication-TCO</v>
      </c>
      <c r="E368" t="s">
        <v>834</v>
      </c>
      <c r="F368" t="s">
        <v>531</v>
      </c>
      <c r="I368">
        <f t="shared" si="15"/>
        <v>0</v>
      </c>
      <c r="L368" s="9">
        <v>46062</v>
      </c>
      <c r="M368" s="9">
        <v>46091</v>
      </c>
      <c r="N368" s="18">
        <f t="shared" ca="1" si="16"/>
        <v>29</v>
      </c>
      <c r="O368" s="9">
        <v>46086</v>
      </c>
      <c r="P368" s="9" t="str">
        <f t="shared" si="17"/>
        <v>❌ Nein</v>
      </c>
      <c r="Q368" t="s">
        <v>840</v>
      </c>
      <c r="S368" t="s">
        <v>840</v>
      </c>
      <c r="T368" t="s">
        <v>540</v>
      </c>
      <c r="U368" t="s">
        <v>614</v>
      </c>
    </row>
    <row r="369" spans="2:21" x14ac:dyDescent="0.25">
      <c r="B369" t="s">
        <v>185</v>
      </c>
      <c r="C369" t="s">
        <v>493</v>
      </c>
      <c r="D369" t="str">
        <f>IF(_xlfn.XLOOKUP(C369, ABZ!A:A, ABZ!B:B, "", 0) = 0, "", _xlfn.XLOOKUP(C369, ABZ!A:A, ABZ!B:B, "", 0))</f>
        <v>SUP-TechnicalCommunication-TCO</v>
      </c>
      <c r="E369" t="s">
        <v>834</v>
      </c>
      <c r="F369" t="s">
        <v>531</v>
      </c>
      <c r="I369">
        <f t="shared" si="15"/>
        <v>0</v>
      </c>
      <c r="L369" s="9">
        <v>46062</v>
      </c>
      <c r="M369" s="9">
        <v>46091</v>
      </c>
      <c r="N369" s="18">
        <f t="shared" ca="1" si="16"/>
        <v>29</v>
      </c>
      <c r="O369" s="9">
        <v>46086</v>
      </c>
      <c r="P369" s="9" t="str">
        <f t="shared" si="17"/>
        <v>❌ Nein</v>
      </c>
      <c r="Q369" t="s">
        <v>840</v>
      </c>
      <c r="S369" t="s">
        <v>840</v>
      </c>
      <c r="T369" t="s">
        <v>540</v>
      </c>
      <c r="U369" t="s">
        <v>614</v>
      </c>
    </row>
    <row r="370" spans="2:21" x14ac:dyDescent="0.25">
      <c r="B370" t="s">
        <v>185</v>
      </c>
      <c r="C370" t="s">
        <v>493</v>
      </c>
      <c r="D370" t="str">
        <f>IF(_xlfn.XLOOKUP(C370, ABZ!A:A, ABZ!B:B, "", 0) = 0, "", _xlfn.XLOOKUP(C370, ABZ!A:A, ABZ!B:B, "", 0))</f>
        <v>SUP-TechnicalCommunication-TCO</v>
      </c>
      <c r="E370" t="s">
        <v>834</v>
      </c>
      <c r="F370" t="s">
        <v>527</v>
      </c>
      <c r="I370">
        <f t="shared" si="15"/>
        <v>0</v>
      </c>
      <c r="L370" s="9">
        <v>46062</v>
      </c>
      <c r="M370" s="9">
        <v>46083</v>
      </c>
      <c r="N370" s="18">
        <f t="shared" ca="1" si="16"/>
        <v>21</v>
      </c>
      <c r="O370" s="9">
        <v>46086</v>
      </c>
      <c r="P370" s="9" t="str">
        <f t="shared" si="17"/>
        <v>✅ Ja</v>
      </c>
      <c r="Q370" t="s">
        <v>839</v>
      </c>
      <c r="S370" t="s">
        <v>840</v>
      </c>
      <c r="T370" t="s">
        <v>540</v>
      </c>
      <c r="U370" t="s">
        <v>614</v>
      </c>
    </row>
    <row r="371" spans="2:21" x14ac:dyDescent="0.25">
      <c r="B371" t="s">
        <v>185</v>
      </c>
      <c r="C371" t="s">
        <v>493</v>
      </c>
      <c r="D371" t="str">
        <f>IF(_xlfn.XLOOKUP(C371, ABZ!A:A, ABZ!B:B, "", 0) = 0, "", _xlfn.XLOOKUP(C371, ABZ!A:A, ABZ!B:B, "", 0))</f>
        <v>SUP-TechnicalCommunication-TCO</v>
      </c>
      <c r="E371" t="s">
        <v>834</v>
      </c>
      <c r="F371" t="s">
        <v>527</v>
      </c>
      <c r="I371">
        <f t="shared" si="15"/>
        <v>0</v>
      </c>
      <c r="L371" s="9">
        <v>46062</v>
      </c>
      <c r="M371" s="9">
        <v>46083</v>
      </c>
      <c r="N371" s="18">
        <f t="shared" ca="1" si="16"/>
        <v>21</v>
      </c>
      <c r="O371" s="9">
        <v>46086</v>
      </c>
      <c r="P371" s="9" t="str">
        <f t="shared" si="17"/>
        <v>✅ Ja</v>
      </c>
      <c r="Q371" t="s">
        <v>839</v>
      </c>
      <c r="S371" t="s">
        <v>840</v>
      </c>
      <c r="T371" t="s">
        <v>540</v>
      </c>
      <c r="U371" t="s">
        <v>614</v>
      </c>
    </row>
    <row r="372" spans="2:21" x14ac:dyDescent="0.25">
      <c r="B372" t="s">
        <v>186</v>
      </c>
      <c r="C372" t="s">
        <v>493</v>
      </c>
      <c r="D372" t="str">
        <f>IF(_xlfn.XLOOKUP(C372, ABZ!A:A, ABZ!B:B, "", 0) = 0, "", _xlfn.XLOOKUP(C372, ABZ!A:A, ABZ!B:B, "", 0))</f>
        <v>SUP-TechnicalCommunication-TCO</v>
      </c>
      <c r="E372" t="s">
        <v>834</v>
      </c>
      <c r="F372" t="s">
        <v>529</v>
      </c>
      <c r="I372">
        <f t="shared" si="15"/>
        <v>1</v>
      </c>
      <c r="L372" s="9">
        <v>46062</v>
      </c>
      <c r="M372" s="9">
        <v>46063</v>
      </c>
      <c r="N372" s="18">
        <f t="shared" ca="1" si="16"/>
        <v>1</v>
      </c>
      <c r="O372" s="9">
        <v>46063</v>
      </c>
      <c r="P372" s="9" t="str">
        <f t="shared" si="17"/>
        <v>✅ Ja</v>
      </c>
      <c r="Q372" t="s">
        <v>845</v>
      </c>
      <c r="S372" t="s">
        <v>840</v>
      </c>
      <c r="T372" t="s">
        <v>540</v>
      </c>
      <c r="U372" t="s">
        <v>615</v>
      </c>
    </row>
    <row r="373" spans="2:21" x14ac:dyDescent="0.25">
      <c r="B373" t="s">
        <v>186</v>
      </c>
      <c r="C373" t="s">
        <v>493</v>
      </c>
      <c r="D373" t="str">
        <f>IF(_xlfn.XLOOKUP(C373, ABZ!A:A, ABZ!B:B, "", 0) = 0, "", _xlfn.XLOOKUP(C373, ABZ!A:A, ABZ!B:B, "", 0))</f>
        <v>SUP-TechnicalCommunication-TCO</v>
      </c>
      <c r="E373" t="s">
        <v>834</v>
      </c>
      <c r="F373" t="s">
        <v>528</v>
      </c>
      <c r="I373">
        <f t="shared" si="15"/>
        <v>1</v>
      </c>
      <c r="L373" s="9">
        <v>46062</v>
      </c>
      <c r="M373" s="9">
        <v>46063</v>
      </c>
      <c r="N373" s="18">
        <f t="shared" ca="1" si="16"/>
        <v>1</v>
      </c>
      <c r="O373" s="9">
        <v>46063</v>
      </c>
      <c r="P373" s="9" t="str">
        <f t="shared" si="17"/>
        <v>✅ Ja</v>
      </c>
      <c r="Q373" t="s">
        <v>841</v>
      </c>
      <c r="S373" t="s">
        <v>840</v>
      </c>
      <c r="T373" t="s">
        <v>540</v>
      </c>
      <c r="U373" t="s">
        <v>615</v>
      </c>
    </row>
    <row r="374" spans="2:21" x14ac:dyDescent="0.25">
      <c r="B374" t="s">
        <v>186</v>
      </c>
      <c r="C374" t="s">
        <v>493</v>
      </c>
      <c r="D374" t="str">
        <f>IF(_xlfn.XLOOKUP(C374, ABZ!A:A, ABZ!B:B, "", 0) = 0, "", _xlfn.XLOOKUP(C374, ABZ!A:A, ABZ!B:B, "", 0))</f>
        <v>SUP-TechnicalCommunication-TCO</v>
      </c>
      <c r="E374" t="s">
        <v>834</v>
      </c>
      <c r="F374" t="s">
        <v>531</v>
      </c>
      <c r="I374">
        <f t="shared" si="15"/>
        <v>1</v>
      </c>
      <c r="L374" s="9">
        <v>46062</v>
      </c>
      <c r="M374" s="9">
        <v>46063</v>
      </c>
      <c r="N374" s="18">
        <f t="shared" ca="1" si="16"/>
        <v>1</v>
      </c>
      <c r="O374" s="9">
        <v>46063</v>
      </c>
      <c r="P374" s="9" t="str">
        <f t="shared" si="17"/>
        <v>✅ Ja</v>
      </c>
      <c r="Q374" t="s">
        <v>843</v>
      </c>
      <c r="S374" t="s">
        <v>840</v>
      </c>
      <c r="T374" t="s">
        <v>540</v>
      </c>
      <c r="U374" t="s">
        <v>615</v>
      </c>
    </row>
    <row r="375" spans="2:21" x14ac:dyDescent="0.25">
      <c r="B375" t="s">
        <v>186</v>
      </c>
      <c r="C375" t="s">
        <v>493</v>
      </c>
      <c r="D375" t="str">
        <f>IF(_xlfn.XLOOKUP(C375, ABZ!A:A, ABZ!B:B, "", 0) = 0, "", _xlfn.XLOOKUP(C375, ABZ!A:A, ABZ!B:B, "", 0))</f>
        <v>SUP-TechnicalCommunication-TCO</v>
      </c>
      <c r="E375" t="s">
        <v>834</v>
      </c>
      <c r="F375" t="s">
        <v>527</v>
      </c>
      <c r="I375">
        <f t="shared" si="15"/>
        <v>1</v>
      </c>
      <c r="L375" s="9">
        <v>46062</v>
      </c>
      <c r="M375" s="9">
        <v>46063</v>
      </c>
      <c r="N375" s="18">
        <f t="shared" ca="1" si="16"/>
        <v>1</v>
      </c>
      <c r="O375" s="9">
        <v>46063</v>
      </c>
      <c r="P375" s="9" t="str">
        <f t="shared" si="17"/>
        <v>✅ Ja</v>
      </c>
      <c r="Q375" t="s">
        <v>836</v>
      </c>
      <c r="S375" t="s">
        <v>840</v>
      </c>
      <c r="T375" t="s">
        <v>540</v>
      </c>
      <c r="U375" t="s">
        <v>615</v>
      </c>
    </row>
    <row r="376" spans="2:21" x14ac:dyDescent="0.25">
      <c r="B376" t="s">
        <v>186</v>
      </c>
      <c r="C376" t="s">
        <v>493</v>
      </c>
      <c r="D376" t="str">
        <f>IF(_xlfn.XLOOKUP(C376, ABZ!A:A, ABZ!B:B, "", 0) = 0, "", _xlfn.XLOOKUP(C376, ABZ!A:A, ABZ!B:B, "", 0))</f>
        <v>SUP-TechnicalCommunication-TCO</v>
      </c>
      <c r="E376" t="s">
        <v>834</v>
      </c>
      <c r="F376" t="s">
        <v>530</v>
      </c>
      <c r="I376">
        <f t="shared" si="15"/>
        <v>1</v>
      </c>
      <c r="L376" s="9">
        <v>46062</v>
      </c>
      <c r="M376" s="9">
        <v>46063</v>
      </c>
      <c r="N376" s="18">
        <f t="shared" ca="1" si="16"/>
        <v>1</v>
      </c>
      <c r="O376" s="9">
        <v>46063</v>
      </c>
      <c r="P376" s="9" t="str">
        <f t="shared" si="17"/>
        <v>✅ Ja</v>
      </c>
      <c r="Q376" t="s">
        <v>844</v>
      </c>
      <c r="S376" t="s">
        <v>840</v>
      </c>
      <c r="T376" t="s">
        <v>540</v>
      </c>
      <c r="U376" t="s">
        <v>615</v>
      </c>
    </row>
    <row r="377" spans="2:21" x14ac:dyDescent="0.25">
      <c r="B377" t="s">
        <v>186</v>
      </c>
      <c r="C377" t="s">
        <v>493</v>
      </c>
      <c r="D377" t="str">
        <f>IF(_xlfn.XLOOKUP(C377, ABZ!A:A, ABZ!B:B, "", 0) = 0, "", _xlfn.XLOOKUP(C377, ABZ!A:A, ABZ!B:B, "", 0))</f>
        <v>SUP-TechnicalCommunication-TCO</v>
      </c>
      <c r="E377" t="s">
        <v>834</v>
      </c>
      <c r="F377" t="s">
        <v>531</v>
      </c>
      <c r="I377">
        <f t="shared" si="15"/>
        <v>0</v>
      </c>
      <c r="L377" s="9">
        <v>46062</v>
      </c>
      <c r="M377" s="9"/>
      <c r="N377" s="18">
        <f t="shared" ca="1" si="16"/>
        <v>102</v>
      </c>
      <c r="O377" s="9">
        <v>46098</v>
      </c>
      <c r="P377" s="9" t="str">
        <f t="shared" si="17"/>
        <v>⏳ Offen</v>
      </c>
      <c r="Q377" t="s">
        <v>840</v>
      </c>
      <c r="S377" t="s">
        <v>840</v>
      </c>
      <c r="T377" t="s">
        <v>540</v>
      </c>
      <c r="U377" t="s">
        <v>615</v>
      </c>
    </row>
    <row r="378" spans="2:21" x14ac:dyDescent="0.25">
      <c r="B378" t="s">
        <v>186</v>
      </c>
      <c r="C378" t="s">
        <v>493</v>
      </c>
      <c r="D378" t="str">
        <f>IF(_xlfn.XLOOKUP(C378, ABZ!A:A, ABZ!B:B, "", 0) = 0, "", _xlfn.XLOOKUP(C378, ABZ!A:A, ABZ!B:B, "", 0))</f>
        <v>SUP-TechnicalCommunication-TCO</v>
      </c>
      <c r="E378" t="s">
        <v>834</v>
      </c>
      <c r="F378" t="s">
        <v>531</v>
      </c>
      <c r="I378">
        <f t="shared" si="15"/>
        <v>0</v>
      </c>
      <c r="L378" s="9">
        <v>46062</v>
      </c>
      <c r="M378" s="9"/>
      <c r="N378" s="18">
        <f t="shared" ca="1" si="16"/>
        <v>102</v>
      </c>
      <c r="O378" s="9">
        <v>46098</v>
      </c>
      <c r="P378" s="9" t="str">
        <f t="shared" si="17"/>
        <v>⏳ Offen</v>
      </c>
      <c r="Q378" t="s">
        <v>840</v>
      </c>
      <c r="S378" t="s">
        <v>840</v>
      </c>
      <c r="T378" t="s">
        <v>540</v>
      </c>
      <c r="U378" t="s">
        <v>615</v>
      </c>
    </row>
    <row r="379" spans="2:21" x14ac:dyDescent="0.25">
      <c r="B379" t="s">
        <v>186</v>
      </c>
      <c r="C379" t="s">
        <v>493</v>
      </c>
      <c r="D379" t="str">
        <f>IF(_xlfn.XLOOKUP(C379, ABZ!A:A, ABZ!B:B, "", 0) = 0, "", _xlfn.XLOOKUP(C379, ABZ!A:A, ABZ!B:B, "", 0))</f>
        <v>SUP-TechnicalCommunication-TCO</v>
      </c>
      <c r="E379" t="s">
        <v>834</v>
      </c>
      <c r="F379" t="s">
        <v>527</v>
      </c>
      <c r="I379">
        <f t="shared" si="15"/>
        <v>0</v>
      </c>
      <c r="L379" s="9">
        <v>46062</v>
      </c>
      <c r="M379" s="9">
        <v>46083</v>
      </c>
      <c r="N379" s="18">
        <f t="shared" ca="1" si="16"/>
        <v>21</v>
      </c>
      <c r="O379" s="9">
        <v>46086</v>
      </c>
      <c r="P379" s="9" t="str">
        <f t="shared" si="17"/>
        <v>✅ Ja</v>
      </c>
      <c r="Q379" t="s">
        <v>839</v>
      </c>
      <c r="S379" t="s">
        <v>840</v>
      </c>
      <c r="T379" t="s">
        <v>540</v>
      </c>
      <c r="U379" t="s">
        <v>615</v>
      </c>
    </row>
    <row r="380" spans="2:21" x14ac:dyDescent="0.25">
      <c r="B380" t="s">
        <v>186</v>
      </c>
      <c r="C380" t="s">
        <v>493</v>
      </c>
      <c r="D380" t="str">
        <f>IF(_xlfn.XLOOKUP(C380, ABZ!A:A, ABZ!B:B, "", 0) = 0, "", _xlfn.XLOOKUP(C380, ABZ!A:A, ABZ!B:B, "", 0))</f>
        <v>SUP-TechnicalCommunication-TCO</v>
      </c>
      <c r="E380" t="s">
        <v>834</v>
      </c>
      <c r="F380" t="s">
        <v>527</v>
      </c>
      <c r="I380">
        <f t="shared" si="15"/>
        <v>0</v>
      </c>
      <c r="L380" s="9">
        <v>46062</v>
      </c>
      <c r="M380" s="9">
        <v>46083</v>
      </c>
      <c r="N380" s="18">
        <f t="shared" ca="1" si="16"/>
        <v>21</v>
      </c>
      <c r="O380" s="9">
        <v>46086</v>
      </c>
      <c r="P380" s="9" t="str">
        <f t="shared" si="17"/>
        <v>✅ Ja</v>
      </c>
      <c r="Q380" t="s">
        <v>839</v>
      </c>
      <c r="S380" t="s">
        <v>840</v>
      </c>
      <c r="T380" t="s">
        <v>540</v>
      </c>
      <c r="U380" t="s">
        <v>615</v>
      </c>
    </row>
    <row r="381" spans="2:21" x14ac:dyDescent="0.25">
      <c r="B381" t="s">
        <v>187</v>
      </c>
      <c r="C381" t="s">
        <v>493</v>
      </c>
      <c r="D381" t="str">
        <f>IF(_xlfn.XLOOKUP(C381, ABZ!A:A, ABZ!B:B, "", 0) = 0, "", _xlfn.XLOOKUP(C381, ABZ!A:A, ABZ!B:B, "", 0))</f>
        <v>SUP-TechnicalCommunication-TCO</v>
      </c>
      <c r="E381" t="s">
        <v>834</v>
      </c>
      <c r="F381" t="s">
        <v>529</v>
      </c>
      <c r="I381">
        <f t="shared" si="15"/>
        <v>1</v>
      </c>
      <c r="L381" s="9">
        <v>46062</v>
      </c>
      <c r="M381" s="9">
        <v>46064</v>
      </c>
      <c r="N381" s="18">
        <f t="shared" ca="1" si="16"/>
        <v>2</v>
      </c>
      <c r="O381" s="9">
        <v>46033</v>
      </c>
      <c r="P381" s="9" t="str">
        <f t="shared" si="17"/>
        <v>❌ Nein</v>
      </c>
      <c r="Q381" t="s">
        <v>845</v>
      </c>
      <c r="S381" t="s">
        <v>840</v>
      </c>
      <c r="T381" t="s">
        <v>540</v>
      </c>
      <c r="U381" t="s">
        <v>616</v>
      </c>
    </row>
    <row r="382" spans="2:21" x14ac:dyDescent="0.25">
      <c r="B382" t="s">
        <v>187</v>
      </c>
      <c r="C382" t="s">
        <v>493</v>
      </c>
      <c r="D382" t="str">
        <f>IF(_xlfn.XLOOKUP(C382, ABZ!A:A, ABZ!B:B, "", 0) = 0, "", _xlfn.XLOOKUP(C382, ABZ!A:A, ABZ!B:B, "", 0))</f>
        <v>SUP-TechnicalCommunication-TCO</v>
      </c>
      <c r="E382" t="s">
        <v>834</v>
      </c>
      <c r="F382" t="s">
        <v>528</v>
      </c>
      <c r="I382">
        <f t="shared" si="15"/>
        <v>1</v>
      </c>
      <c r="L382" s="9">
        <v>46062</v>
      </c>
      <c r="M382" s="9">
        <v>46063</v>
      </c>
      <c r="N382" s="18">
        <f t="shared" ca="1" si="16"/>
        <v>1</v>
      </c>
      <c r="O382" s="9">
        <v>46033</v>
      </c>
      <c r="P382" s="9" t="str">
        <f t="shared" si="17"/>
        <v>❌ Nein</v>
      </c>
      <c r="Q382" t="s">
        <v>841</v>
      </c>
      <c r="S382" t="s">
        <v>840</v>
      </c>
      <c r="T382" t="s">
        <v>540</v>
      </c>
      <c r="U382" t="s">
        <v>616</v>
      </c>
    </row>
    <row r="383" spans="2:21" x14ac:dyDescent="0.25">
      <c r="B383" t="s">
        <v>187</v>
      </c>
      <c r="C383" t="s">
        <v>493</v>
      </c>
      <c r="D383" t="str">
        <f>IF(_xlfn.XLOOKUP(C383, ABZ!A:A, ABZ!B:B, "", 0) = 0, "", _xlfn.XLOOKUP(C383, ABZ!A:A, ABZ!B:B, "", 0))</f>
        <v>SUP-TechnicalCommunication-TCO</v>
      </c>
      <c r="E383" t="s">
        <v>834</v>
      </c>
      <c r="F383" t="s">
        <v>531</v>
      </c>
      <c r="I383">
        <f t="shared" si="15"/>
        <v>1</v>
      </c>
      <c r="L383" s="9">
        <v>46062</v>
      </c>
      <c r="M383" s="9">
        <v>46063</v>
      </c>
      <c r="N383" s="18">
        <f t="shared" ca="1" si="16"/>
        <v>1</v>
      </c>
      <c r="O383" s="9">
        <v>46033</v>
      </c>
      <c r="P383" s="9" t="str">
        <f t="shared" si="17"/>
        <v>❌ Nein</v>
      </c>
      <c r="Q383" t="s">
        <v>843</v>
      </c>
      <c r="S383" t="s">
        <v>840</v>
      </c>
      <c r="T383" t="s">
        <v>540</v>
      </c>
      <c r="U383" t="s">
        <v>616</v>
      </c>
    </row>
    <row r="384" spans="2:21" x14ac:dyDescent="0.25">
      <c r="B384" t="s">
        <v>187</v>
      </c>
      <c r="C384" t="s">
        <v>493</v>
      </c>
      <c r="D384" t="str">
        <f>IF(_xlfn.XLOOKUP(C384, ABZ!A:A, ABZ!B:B, "", 0) = 0, "", _xlfn.XLOOKUP(C384, ABZ!A:A, ABZ!B:B, "", 0))</f>
        <v>SUP-TechnicalCommunication-TCO</v>
      </c>
      <c r="E384" t="s">
        <v>834</v>
      </c>
      <c r="F384" t="s">
        <v>527</v>
      </c>
      <c r="I384">
        <f t="shared" si="15"/>
        <v>1</v>
      </c>
      <c r="L384" s="9">
        <v>46062</v>
      </c>
      <c r="M384" s="9">
        <v>46063</v>
      </c>
      <c r="N384" s="18">
        <f t="shared" ca="1" si="16"/>
        <v>1</v>
      </c>
      <c r="O384" s="9">
        <v>46033</v>
      </c>
      <c r="P384" s="9" t="str">
        <f t="shared" si="17"/>
        <v>❌ Nein</v>
      </c>
      <c r="Q384" t="s">
        <v>836</v>
      </c>
      <c r="S384" t="s">
        <v>840</v>
      </c>
      <c r="T384" t="s">
        <v>540</v>
      </c>
      <c r="U384" t="s">
        <v>616</v>
      </c>
    </row>
    <row r="385" spans="2:21" x14ac:dyDescent="0.25">
      <c r="B385" t="s">
        <v>187</v>
      </c>
      <c r="C385" t="s">
        <v>493</v>
      </c>
      <c r="D385" t="str">
        <f>IF(_xlfn.XLOOKUP(C385, ABZ!A:A, ABZ!B:B, "", 0) = 0, "", _xlfn.XLOOKUP(C385, ABZ!A:A, ABZ!B:B, "", 0))</f>
        <v>SUP-TechnicalCommunication-TCO</v>
      </c>
      <c r="E385" t="s">
        <v>834</v>
      </c>
      <c r="F385" t="s">
        <v>530</v>
      </c>
      <c r="I385">
        <f t="shared" si="15"/>
        <v>1</v>
      </c>
      <c r="L385" s="9">
        <v>46062</v>
      </c>
      <c r="M385" s="9">
        <v>46063</v>
      </c>
      <c r="N385" s="18">
        <f t="shared" ca="1" si="16"/>
        <v>1</v>
      </c>
      <c r="O385" s="9">
        <v>46033</v>
      </c>
      <c r="P385" s="9" t="str">
        <f t="shared" si="17"/>
        <v>❌ Nein</v>
      </c>
      <c r="Q385" t="s">
        <v>844</v>
      </c>
      <c r="S385" t="s">
        <v>840</v>
      </c>
      <c r="T385" t="s">
        <v>540</v>
      </c>
      <c r="U385" t="s">
        <v>616</v>
      </c>
    </row>
    <row r="386" spans="2:21" x14ac:dyDescent="0.25">
      <c r="B386" t="s">
        <v>187</v>
      </c>
      <c r="C386" t="s">
        <v>493</v>
      </c>
      <c r="D386" t="str">
        <f>IF(_xlfn.XLOOKUP(C386, ABZ!A:A, ABZ!B:B, "", 0) = 0, "", _xlfn.XLOOKUP(C386, ABZ!A:A, ABZ!B:B, "", 0))</f>
        <v>SUP-TechnicalCommunication-TCO</v>
      </c>
      <c r="E386" t="s">
        <v>834</v>
      </c>
      <c r="F386" t="s">
        <v>531</v>
      </c>
      <c r="I386">
        <f t="shared" si="15"/>
        <v>0</v>
      </c>
      <c r="L386" s="9">
        <v>46062</v>
      </c>
      <c r="M386" s="9"/>
      <c r="N386" s="18">
        <f t="shared" ca="1" si="16"/>
        <v>102</v>
      </c>
      <c r="O386" s="9">
        <v>46098</v>
      </c>
      <c r="P386" s="9" t="str">
        <f t="shared" si="17"/>
        <v>⏳ Offen</v>
      </c>
      <c r="Q386" t="s">
        <v>840</v>
      </c>
      <c r="S386" t="s">
        <v>840</v>
      </c>
      <c r="T386" t="s">
        <v>540</v>
      </c>
      <c r="U386" t="s">
        <v>616</v>
      </c>
    </row>
    <row r="387" spans="2:21" x14ac:dyDescent="0.25">
      <c r="B387" t="s">
        <v>187</v>
      </c>
      <c r="C387" t="s">
        <v>493</v>
      </c>
      <c r="D387" t="str">
        <f>IF(_xlfn.XLOOKUP(C387, ABZ!A:A, ABZ!B:B, "", 0) = 0, "", _xlfn.XLOOKUP(C387, ABZ!A:A, ABZ!B:B, "", 0))</f>
        <v>SUP-TechnicalCommunication-TCO</v>
      </c>
      <c r="E387" t="s">
        <v>834</v>
      </c>
      <c r="F387" t="s">
        <v>531</v>
      </c>
      <c r="I387">
        <f t="shared" ref="I387:I450" si="18">IF(AND(O387&lt;&gt;"",L387&lt;&gt;""),IF((O387-L387)&lt;=2,1,0),0)</f>
        <v>0</v>
      </c>
      <c r="L387" s="9">
        <v>46062</v>
      </c>
      <c r="M387" s="9"/>
      <c r="N387" s="18">
        <f t="shared" ref="N387:N450" ca="1" si="19">IF(M387&lt;&gt;"",M387-L387,TODAY()-L387)</f>
        <v>102</v>
      </c>
      <c r="O387" s="9">
        <v>46098</v>
      </c>
      <c r="P387" s="9" t="str">
        <f t="shared" ref="P387:P450" si="20">IF(M387="","⏳ Offen",IF(M387&lt;=O387,"✅ Ja","❌ Nein"))</f>
        <v>⏳ Offen</v>
      </c>
      <c r="Q387" t="s">
        <v>840</v>
      </c>
      <c r="S387" t="s">
        <v>840</v>
      </c>
      <c r="T387" t="s">
        <v>540</v>
      </c>
      <c r="U387" t="s">
        <v>616</v>
      </c>
    </row>
    <row r="388" spans="2:21" x14ac:dyDescent="0.25">
      <c r="B388" t="s">
        <v>187</v>
      </c>
      <c r="C388" t="s">
        <v>493</v>
      </c>
      <c r="D388" t="str">
        <f>IF(_xlfn.XLOOKUP(C388, ABZ!A:A, ABZ!B:B, "", 0) = 0, "", _xlfn.XLOOKUP(C388, ABZ!A:A, ABZ!B:B, "", 0))</f>
        <v>SUP-TechnicalCommunication-TCO</v>
      </c>
      <c r="E388" t="s">
        <v>834</v>
      </c>
      <c r="F388" t="s">
        <v>527</v>
      </c>
      <c r="I388">
        <f t="shared" si="18"/>
        <v>0</v>
      </c>
      <c r="L388" s="9">
        <v>46062</v>
      </c>
      <c r="M388" s="9"/>
      <c r="N388" s="18">
        <f t="shared" ca="1" si="19"/>
        <v>102</v>
      </c>
      <c r="O388" s="9">
        <v>46098</v>
      </c>
      <c r="P388" s="9" t="str">
        <f t="shared" si="20"/>
        <v>⏳ Offen</v>
      </c>
      <c r="Q388" t="s">
        <v>839</v>
      </c>
      <c r="S388" t="s">
        <v>840</v>
      </c>
      <c r="T388" t="s">
        <v>540</v>
      </c>
      <c r="U388" t="s">
        <v>616</v>
      </c>
    </row>
    <row r="389" spans="2:21" x14ac:dyDescent="0.25">
      <c r="B389" t="s">
        <v>187</v>
      </c>
      <c r="C389" t="s">
        <v>493</v>
      </c>
      <c r="D389" t="str">
        <f>IF(_xlfn.XLOOKUP(C389, ABZ!A:A, ABZ!B:B, "", 0) = 0, "", _xlfn.XLOOKUP(C389, ABZ!A:A, ABZ!B:B, "", 0))</f>
        <v>SUP-TechnicalCommunication-TCO</v>
      </c>
      <c r="E389" t="s">
        <v>834</v>
      </c>
      <c r="F389" t="s">
        <v>527</v>
      </c>
      <c r="I389">
        <f t="shared" si="18"/>
        <v>0</v>
      </c>
      <c r="L389" s="9">
        <v>46062</v>
      </c>
      <c r="M389" s="9"/>
      <c r="N389" s="18">
        <f t="shared" ca="1" si="19"/>
        <v>102</v>
      </c>
      <c r="O389" s="9">
        <v>46098</v>
      </c>
      <c r="P389" s="9" t="str">
        <f t="shared" si="20"/>
        <v>⏳ Offen</v>
      </c>
      <c r="Q389" t="s">
        <v>839</v>
      </c>
      <c r="S389" t="s">
        <v>840</v>
      </c>
      <c r="T389" t="s">
        <v>540</v>
      </c>
      <c r="U389" t="s">
        <v>616</v>
      </c>
    </row>
    <row r="390" spans="2:21" x14ac:dyDescent="0.25">
      <c r="B390" t="s">
        <v>188</v>
      </c>
      <c r="C390" t="s">
        <v>497</v>
      </c>
      <c r="D390" t="str">
        <f>IF(_xlfn.XLOOKUP(C390, ABZ!A:A, ABZ!B:B, "", 0) = 0, "", _xlfn.XLOOKUP(C390, ABZ!A:A, ABZ!B:B, "", 0))</f>
        <v>ENT-UIC-JS3</v>
      </c>
      <c r="E390" t="s">
        <v>834</v>
      </c>
      <c r="F390" t="s">
        <v>529</v>
      </c>
      <c r="I390">
        <f t="shared" si="18"/>
        <v>0</v>
      </c>
      <c r="L390" s="9">
        <v>46062</v>
      </c>
      <c r="M390" s="9">
        <v>46073</v>
      </c>
      <c r="N390" s="18">
        <f t="shared" ca="1" si="19"/>
        <v>11</v>
      </c>
      <c r="O390" s="9">
        <v>46070</v>
      </c>
      <c r="P390" s="9" t="str">
        <f t="shared" si="20"/>
        <v>❌ Nein</v>
      </c>
      <c r="Q390" t="s">
        <v>846</v>
      </c>
      <c r="S390" t="s">
        <v>841</v>
      </c>
      <c r="T390" t="s">
        <v>540</v>
      </c>
      <c r="U390" t="s">
        <v>612</v>
      </c>
    </row>
    <row r="391" spans="2:21" x14ac:dyDescent="0.25">
      <c r="B391" t="s">
        <v>188</v>
      </c>
      <c r="C391" t="s">
        <v>497</v>
      </c>
      <c r="D391" t="str">
        <f>IF(_xlfn.XLOOKUP(C391, ABZ!A:A, ABZ!B:B, "", 0) = 0, "", _xlfn.XLOOKUP(C391, ABZ!A:A, ABZ!B:B, "", 0))</f>
        <v>ENT-UIC-JS3</v>
      </c>
      <c r="E391" t="s">
        <v>834</v>
      </c>
      <c r="F391" t="s">
        <v>527</v>
      </c>
      <c r="I391">
        <f t="shared" si="18"/>
        <v>0</v>
      </c>
      <c r="L391" s="9">
        <v>46062</v>
      </c>
      <c r="M391" s="9">
        <v>46073</v>
      </c>
      <c r="N391" s="18">
        <f t="shared" ca="1" si="19"/>
        <v>11</v>
      </c>
      <c r="O391" s="9">
        <v>46070</v>
      </c>
      <c r="P391" s="9" t="str">
        <f t="shared" si="20"/>
        <v>❌ Nein</v>
      </c>
      <c r="Q391" t="s">
        <v>839</v>
      </c>
      <c r="S391" t="s">
        <v>841</v>
      </c>
      <c r="T391" t="s">
        <v>540</v>
      </c>
      <c r="U391" t="s">
        <v>612</v>
      </c>
    </row>
    <row r="392" spans="2:21" x14ac:dyDescent="0.25">
      <c r="B392" t="s">
        <v>188</v>
      </c>
      <c r="C392" t="s">
        <v>497</v>
      </c>
      <c r="D392" t="str">
        <f>IF(_xlfn.XLOOKUP(C392, ABZ!A:A, ABZ!B:B, "", 0) = 0, "", _xlfn.XLOOKUP(C392, ABZ!A:A, ABZ!B:B, "", 0))</f>
        <v>ENT-UIC-JS3</v>
      </c>
      <c r="E392" t="s">
        <v>834</v>
      </c>
      <c r="F392" t="s">
        <v>531</v>
      </c>
      <c r="I392">
        <f t="shared" si="18"/>
        <v>0</v>
      </c>
      <c r="L392" s="9">
        <v>46062</v>
      </c>
      <c r="M392" s="9">
        <v>46073</v>
      </c>
      <c r="N392" s="18">
        <f t="shared" ca="1" si="19"/>
        <v>11</v>
      </c>
      <c r="O392" s="9">
        <v>46070</v>
      </c>
      <c r="P392" s="9" t="str">
        <f t="shared" si="20"/>
        <v>❌ Nein</v>
      </c>
      <c r="Q392" t="s">
        <v>840</v>
      </c>
      <c r="S392" t="s">
        <v>841</v>
      </c>
      <c r="T392" t="s">
        <v>540</v>
      </c>
      <c r="U392" t="s">
        <v>612</v>
      </c>
    </row>
    <row r="393" spans="2:21" x14ac:dyDescent="0.25">
      <c r="B393" t="s">
        <v>188</v>
      </c>
      <c r="C393" t="s">
        <v>487</v>
      </c>
      <c r="D393" t="str">
        <f>IF(_xlfn.XLOOKUP(C393, ABZ!A:A, ABZ!B:B, "", 0) = 0, "", _xlfn.XLOOKUP(C393, ABZ!A:A, ABZ!B:B, "", 0))</f>
        <v>ENT-UIC-JS3</v>
      </c>
      <c r="E393" t="s">
        <v>834</v>
      </c>
      <c r="F393" t="s">
        <v>528</v>
      </c>
      <c r="I393">
        <f t="shared" si="18"/>
        <v>0</v>
      </c>
      <c r="L393" s="9">
        <v>46062</v>
      </c>
      <c r="M393" s="9">
        <v>46073</v>
      </c>
      <c r="N393" s="18">
        <f t="shared" ca="1" si="19"/>
        <v>11</v>
      </c>
      <c r="O393" s="9">
        <v>46070</v>
      </c>
      <c r="P393" s="9" t="str">
        <f t="shared" si="20"/>
        <v>❌ Nein</v>
      </c>
      <c r="Q393" t="s">
        <v>841</v>
      </c>
      <c r="S393" t="s">
        <v>841</v>
      </c>
      <c r="T393" t="s">
        <v>540</v>
      </c>
      <c r="U393" t="s">
        <v>612</v>
      </c>
    </row>
    <row r="394" spans="2:21" x14ac:dyDescent="0.25">
      <c r="B394" t="s">
        <v>188</v>
      </c>
      <c r="C394" t="s">
        <v>487</v>
      </c>
      <c r="D394" t="str">
        <f>IF(_xlfn.XLOOKUP(C394, ABZ!A:A, ABZ!B:B, "", 0) = 0, "", _xlfn.XLOOKUP(C394, ABZ!A:A, ABZ!B:B, "", 0))</f>
        <v>ENT-UIC-JS3</v>
      </c>
      <c r="E394" t="s">
        <v>834</v>
      </c>
      <c r="F394" t="s">
        <v>527</v>
      </c>
      <c r="I394">
        <f t="shared" si="18"/>
        <v>0</v>
      </c>
      <c r="L394" s="9">
        <v>46062</v>
      </c>
      <c r="M394" s="9">
        <v>46073</v>
      </c>
      <c r="N394" s="18">
        <f t="shared" ca="1" si="19"/>
        <v>11</v>
      </c>
      <c r="O394" s="9">
        <v>46070</v>
      </c>
      <c r="P394" s="9" t="str">
        <f t="shared" si="20"/>
        <v>❌ Nein</v>
      </c>
      <c r="Q394" t="s">
        <v>836</v>
      </c>
      <c r="S394" t="s">
        <v>841</v>
      </c>
      <c r="T394" t="s">
        <v>540</v>
      </c>
      <c r="U394" t="s">
        <v>612</v>
      </c>
    </row>
    <row r="395" spans="2:21" x14ac:dyDescent="0.25">
      <c r="B395" t="s">
        <v>188</v>
      </c>
      <c r="C395" t="s">
        <v>487</v>
      </c>
      <c r="D395" t="str">
        <f>IF(_xlfn.XLOOKUP(C395, ABZ!A:A, ABZ!B:B, "", 0) = 0, "", _xlfn.XLOOKUP(C395, ABZ!A:A, ABZ!B:B, "", 0))</f>
        <v>ENT-UIC-JS3</v>
      </c>
      <c r="E395" t="s">
        <v>834</v>
      </c>
      <c r="F395" t="s">
        <v>535</v>
      </c>
      <c r="I395">
        <f t="shared" si="18"/>
        <v>0</v>
      </c>
      <c r="L395" s="9">
        <v>46062</v>
      </c>
      <c r="M395" s="9">
        <v>46073</v>
      </c>
      <c r="N395" s="18">
        <f t="shared" ca="1" si="19"/>
        <v>11</v>
      </c>
      <c r="O395" s="9">
        <v>46070</v>
      </c>
      <c r="P395" s="9" t="str">
        <f t="shared" si="20"/>
        <v>❌ Nein</v>
      </c>
      <c r="Q395" t="s">
        <v>842</v>
      </c>
      <c r="S395" t="s">
        <v>838</v>
      </c>
      <c r="T395" t="s">
        <v>540</v>
      </c>
      <c r="U395" t="s">
        <v>612</v>
      </c>
    </row>
    <row r="396" spans="2:21" x14ac:dyDescent="0.25">
      <c r="B396" t="s">
        <v>188</v>
      </c>
      <c r="C396" t="s">
        <v>487</v>
      </c>
      <c r="D396" t="str">
        <f>IF(_xlfn.XLOOKUP(C396, ABZ!A:A, ABZ!B:B, "", 0) = 0, "", _xlfn.XLOOKUP(C396, ABZ!A:A, ABZ!B:B, "", 0))</f>
        <v>ENT-UIC-JS3</v>
      </c>
      <c r="E396" t="s">
        <v>834</v>
      </c>
      <c r="F396" t="s">
        <v>538</v>
      </c>
      <c r="I396">
        <f t="shared" si="18"/>
        <v>0</v>
      </c>
      <c r="L396" s="9">
        <v>46062</v>
      </c>
      <c r="M396" s="9">
        <v>46073</v>
      </c>
      <c r="N396" s="18">
        <f t="shared" ca="1" si="19"/>
        <v>11</v>
      </c>
      <c r="O396" s="9">
        <v>46070</v>
      </c>
      <c r="P396" s="9" t="str">
        <f t="shared" si="20"/>
        <v>❌ Nein</v>
      </c>
      <c r="Q396" t="s">
        <v>842</v>
      </c>
      <c r="S396" t="s">
        <v>838</v>
      </c>
      <c r="T396" t="s">
        <v>540</v>
      </c>
      <c r="U396" t="s">
        <v>612</v>
      </c>
    </row>
    <row r="397" spans="2:21" x14ac:dyDescent="0.25">
      <c r="B397" t="s">
        <v>189</v>
      </c>
      <c r="C397" t="s">
        <v>498</v>
      </c>
      <c r="D397" t="str">
        <f>IF(_xlfn.XLOOKUP(C397, ABZ!A:A, ABZ!B:B, "", 0) = 0, "", _xlfn.XLOOKUP(C397, ABZ!A:A, ABZ!B:B, "", 0))</f>
        <v>ENT-PM-F-OS</v>
      </c>
      <c r="E397" t="s">
        <v>835</v>
      </c>
      <c r="F397" t="s">
        <v>532</v>
      </c>
      <c r="H397">
        <v>1</v>
      </c>
      <c r="I397">
        <f t="shared" si="18"/>
        <v>1</v>
      </c>
      <c r="L397" s="9">
        <v>46063</v>
      </c>
      <c r="M397" s="9">
        <v>46063</v>
      </c>
      <c r="N397" s="18">
        <f t="shared" ca="1" si="19"/>
        <v>0</v>
      </c>
      <c r="O397" s="9">
        <v>46063</v>
      </c>
      <c r="P397" s="9" t="str">
        <f t="shared" si="20"/>
        <v>✅ Ja</v>
      </c>
      <c r="Q397" t="s">
        <v>838</v>
      </c>
      <c r="S397" t="s">
        <v>840</v>
      </c>
      <c r="T397" t="s">
        <v>540</v>
      </c>
      <c r="U397" t="s">
        <v>592</v>
      </c>
    </row>
    <row r="398" spans="2:21" x14ac:dyDescent="0.25">
      <c r="B398" t="s">
        <v>190</v>
      </c>
      <c r="C398" t="s">
        <v>498</v>
      </c>
      <c r="D398" t="str">
        <f>IF(_xlfn.XLOOKUP(C398, ABZ!A:A, ABZ!B:B, "", 0) = 0, "", _xlfn.XLOOKUP(C398, ABZ!A:A, ABZ!B:B, "", 0))</f>
        <v>ENT-PM-F-OS</v>
      </c>
      <c r="E398" t="s">
        <v>834</v>
      </c>
      <c r="F398" t="s">
        <v>529</v>
      </c>
      <c r="I398">
        <f t="shared" si="18"/>
        <v>1</v>
      </c>
      <c r="L398" s="9">
        <v>46063</v>
      </c>
      <c r="M398" s="9">
        <v>46063</v>
      </c>
      <c r="N398" s="18">
        <f t="shared" ca="1" si="19"/>
        <v>0</v>
      </c>
      <c r="O398" s="9">
        <v>46063</v>
      </c>
      <c r="P398" s="9" t="str">
        <f t="shared" si="20"/>
        <v>✅ Ja</v>
      </c>
      <c r="Q398" t="s">
        <v>846</v>
      </c>
      <c r="S398" t="s">
        <v>840</v>
      </c>
      <c r="T398" t="s">
        <v>540</v>
      </c>
      <c r="U398" t="s">
        <v>592</v>
      </c>
    </row>
    <row r="399" spans="2:21" x14ac:dyDescent="0.25">
      <c r="B399" t="s">
        <v>191</v>
      </c>
      <c r="C399" t="s">
        <v>469</v>
      </c>
      <c r="D399" t="str">
        <f>IF(_xlfn.XLOOKUP(C399, ABZ!A:A, ABZ!B:B, "", 0) = 0, "", _xlfn.XLOOKUP(C399, ABZ!A:A, ABZ!B:B, "", 0))</f>
        <v>VTR-CS-CM-Retail</v>
      </c>
      <c r="E399" t="s">
        <v>835</v>
      </c>
      <c r="F399" t="s">
        <v>532</v>
      </c>
      <c r="G399">
        <v>752</v>
      </c>
      <c r="H399">
        <v>1</v>
      </c>
      <c r="I399">
        <f t="shared" si="18"/>
        <v>0</v>
      </c>
      <c r="L399" s="9">
        <v>46063</v>
      </c>
      <c r="M399" s="9">
        <v>46070</v>
      </c>
      <c r="N399" s="18">
        <f t="shared" ca="1" si="19"/>
        <v>7</v>
      </c>
      <c r="O399" s="9">
        <v>46070</v>
      </c>
      <c r="P399" s="9" t="str">
        <f t="shared" si="20"/>
        <v>✅ Ja</v>
      </c>
      <c r="Q399" t="s">
        <v>838</v>
      </c>
      <c r="S399" t="s">
        <v>839</v>
      </c>
      <c r="T399" t="s">
        <v>540</v>
      </c>
      <c r="U399" t="s">
        <v>591</v>
      </c>
    </row>
    <row r="400" spans="2:21" x14ac:dyDescent="0.25">
      <c r="B400" t="s">
        <v>191</v>
      </c>
      <c r="C400" t="s">
        <v>469</v>
      </c>
      <c r="D400" t="str">
        <f>IF(_xlfn.XLOOKUP(C400, ABZ!A:A, ABZ!B:B, "", 0) = 0, "", _xlfn.XLOOKUP(C400, ABZ!A:A, ABZ!B:B, "", 0))</f>
        <v>VTR-CS-CM-Retail</v>
      </c>
      <c r="E400" t="s">
        <v>834</v>
      </c>
      <c r="F400" t="s">
        <v>529</v>
      </c>
      <c r="G400">
        <v>752</v>
      </c>
      <c r="I400">
        <f t="shared" si="18"/>
        <v>0</v>
      </c>
      <c r="L400" s="9">
        <v>46063</v>
      </c>
      <c r="M400" s="9">
        <v>46070</v>
      </c>
      <c r="N400" s="18">
        <f t="shared" ca="1" si="19"/>
        <v>7</v>
      </c>
      <c r="O400" s="9">
        <v>46070</v>
      </c>
      <c r="P400" s="9" t="str">
        <f t="shared" si="20"/>
        <v>✅ Ja</v>
      </c>
      <c r="Q400" t="s">
        <v>845</v>
      </c>
      <c r="S400" t="s">
        <v>839</v>
      </c>
      <c r="T400" t="s">
        <v>540</v>
      </c>
      <c r="U400" t="s">
        <v>591</v>
      </c>
    </row>
    <row r="401" spans="2:21" x14ac:dyDescent="0.25">
      <c r="B401" t="s">
        <v>191</v>
      </c>
      <c r="C401" t="s">
        <v>469</v>
      </c>
      <c r="D401" t="str">
        <f>IF(_xlfn.XLOOKUP(C401, ABZ!A:A, ABZ!B:B, "", 0) = 0, "", _xlfn.XLOOKUP(C401, ABZ!A:A, ABZ!B:B, "", 0))</f>
        <v>VTR-CS-CM-Retail</v>
      </c>
      <c r="E401" t="s">
        <v>834</v>
      </c>
      <c r="F401" t="s">
        <v>527</v>
      </c>
      <c r="G401">
        <v>752</v>
      </c>
      <c r="I401">
        <f t="shared" si="18"/>
        <v>0</v>
      </c>
      <c r="L401" s="9">
        <v>46063</v>
      </c>
      <c r="M401" s="9">
        <v>46070</v>
      </c>
      <c r="N401" s="18">
        <f t="shared" ca="1" si="19"/>
        <v>7</v>
      </c>
      <c r="O401" s="9">
        <v>46070</v>
      </c>
      <c r="P401" s="9" t="str">
        <f t="shared" si="20"/>
        <v>✅ Ja</v>
      </c>
      <c r="Q401" t="s">
        <v>836</v>
      </c>
      <c r="S401" t="s">
        <v>839</v>
      </c>
      <c r="T401" t="s">
        <v>540</v>
      </c>
      <c r="U401" t="s">
        <v>591</v>
      </c>
    </row>
    <row r="402" spans="2:21" x14ac:dyDescent="0.25">
      <c r="B402" t="s">
        <v>191</v>
      </c>
      <c r="C402" t="s">
        <v>469</v>
      </c>
      <c r="D402" t="str">
        <f>IF(_xlfn.XLOOKUP(C402, ABZ!A:A, ABZ!B:B, "", 0) = 0, "", _xlfn.XLOOKUP(C402, ABZ!A:A, ABZ!B:B, "", 0))</f>
        <v>VTR-CS-CM-Retail</v>
      </c>
      <c r="E402" t="s">
        <v>834</v>
      </c>
      <c r="F402" t="s">
        <v>531</v>
      </c>
      <c r="G402">
        <v>752</v>
      </c>
      <c r="I402">
        <f t="shared" si="18"/>
        <v>0</v>
      </c>
      <c r="L402" s="9">
        <v>46063</v>
      </c>
      <c r="M402" s="9">
        <v>46070</v>
      </c>
      <c r="N402" s="18">
        <f t="shared" ca="1" si="19"/>
        <v>7</v>
      </c>
      <c r="O402" s="9">
        <v>46070</v>
      </c>
      <c r="P402" s="9" t="str">
        <f t="shared" si="20"/>
        <v>✅ Ja</v>
      </c>
      <c r="Q402" t="s">
        <v>840</v>
      </c>
      <c r="S402" t="s">
        <v>839</v>
      </c>
      <c r="T402" t="s">
        <v>540</v>
      </c>
      <c r="U402" t="s">
        <v>591</v>
      </c>
    </row>
    <row r="403" spans="2:21" x14ac:dyDescent="0.25">
      <c r="B403" t="s">
        <v>192</v>
      </c>
      <c r="C403" t="s">
        <v>462</v>
      </c>
      <c r="D403" t="str">
        <f>IF(_xlfn.XLOOKUP(C403, ABZ!A:A, ABZ!B:B, "", 0) = 0, "", _xlfn.XLOOKUP(C403, ABZ!A:A, ABZ!B:B, "", 0))</f>
        <v>SUP-TCO-KnowledgeManagement</v>
      </c>
      <c r="E403" t="s">
        <v>834</v>
      </c>
      <c r="F403" t="s">
        <v>529</v>
      </c>
      <c r="I403">
        <f t="shared" si="18"/>
        <v>0</v>
      </c>
      <c r="L403" s="9">
        <v>46063</v>
      </c>
      <c r="M403" s="9">
        <v>46072</v>
      </c>
      <c r="N403" s="18">
        <f t="shared" ca="1" si="19"/>
        <v>9</v>
      </c>
      <c r="O403" s="9">
        <v>46080</v>
      </c>
      <c r="P403" s="9" t="str">
        <f t="shared" si="20"/>
        <v>✅ Ja</v>
      </c>
      <c r="Q403" t="s">
        <v>837</v>
      </c>
      <c r="R403" t="s">
        <v>845</v>
      </c>
      <c r="S403" t="s">
        <v>838</v>
      </c>
      <c r="T403" t="s">
        <v>540</v>
      </c>
      <c r="U403" t="s">
        <v>617</v>
      </c>
    </row>
    <row r="404" spans="2:21" x14ac:dyDescent="0.25">
      <c r="B404" t="s">
        <v>192</v>
      </c>
      <c r="C404" t="s">
        <v>462</v>
      </c>
      <c r="D404" t="str">
        <f>IF(_xlfn.XLOOKUP(C404, ABZ!A:A, ABZ!B:B, "", 0) = 0, "", _xlfn.XLOOKUP(C404, ABZ!A:A, ABZ!B:B, "", 0))</f>
        <v>SUP-TCO-KnowledgeManagement</v>
      </c>
      <c r="E404" t="s">
        <v>834</v>
      </c>
      <c r="F404" t="s">
        <v>530</v>
      </c>
      <c r="I404">
        <f t="shared" si="18"/>
        <v>0</v>
      </c>
      <c r="L404" s="9">
        <v>46063</v>
      </c>
      <c r="M404" s="9">
        <v>46080</v>
      </c>
      <c r="N404" s="18">
        <f t="shared" ca="1" si="19"/>
        <v>17</v>
      </c>
      <c r="O404" s="9">
        <v>46080</v>
      </c>
      <c r="P404" s="9" t="str">
        <f t="shared" si="20"/>
        <v>✅ Ja</v>
      </c>
      <c r="Q404" t="s">
        <v>844</v>
      </c>
      <c r="R404" t="s">
        <v>839</v>
      </c>
      <c r="S404" t="s">
        <v>838</v>
      </c>
      <c r="T404" t="s">
        <v>540</v>
      </c>
      <c r="U404" t="s">
        <v>617</v>
      </c>
    </row>
    <row r="405" spans="2:21" x14ac:dyDescent="0.25">
      <c r="B405" t="s">
        <v>192</v>
      </c>
      <c r="C405" t="s">
        <v>462</v>
      </c>
      <c r="D405" t="str">
        <f>IF(_xlfn.XLOOKUP(C405, ABZ!A:A, ABZ!B:B, "", 0) = 0, "", _xlfn.XLOOKUP(C405, ABZ!A:A, ABZ!B:B, "", 0))</f>
        <v>SUP-TCO-KnowledgeManagement</v>
      </c>
      <c r="E405" t="s">
        <v>834</v>
      </c>
      <c r="F405" t="s">
        <v>531</v>
      </c>
      <c r="I405">
        <f t="shared" si="18"/>
        <v>0</v>
      </c>
      <c r="L405" s="9">
        <v>46063</v>
      </c>
      <c r="M405" s="9">
        <v>46073</v>
      </c>
      <c r="N405" s="18">
        <f t="shared" ca="1" si="19"/>
        <v>10</v>
      </c>
      <c r="O405" s="9">
        <v>46080</v>
      </c>
      <c r="P405" s="9" t="str">
        <f t="shared" si="20"/>
        <v>✅ Ja</v>
      </c>
      <c r="Q405" t="s">
        <v>843</v>
      </c>
      <c r="S405" t="s">
        <v>838</v>
      </c>
      <c r="T405" t="s">
        <v>540</v>
      </c>
      <c r="U405" t="s">
        <v>617</v>
      </c>
    </row>
    <row r="406" spans="2:21" x14ac:dyDescent="0.25">
      <c r="B406" t="s">
        <v>192</v>
      </c>
      <c r="C406" t="s">
        <v>462</v>
      </c>
      <c r="D406" t="str">
        <f>IF(_xlfn.XLOOKUP(C406, ABZ!A:A, ABZ!B:B, "", 0) = 0, "", _xlfn.XLOOKUP(C406, ABZ!A:A, ABZ!B:B, "", 0))</f>
        <v>SUP-TCO-KnowledgeManagement</v>
      </c>
      <c r="E406" t="s">
        <v>834</v>
      </c>
      <c r="F406" t="s">
        <v>527</v>
      </c>
      <c r="I406">
        <f t="shared" si="18"/>
        <v>0</v>
      </c>
      <c r="J406" t="s">
        <v>875</v>
      </c>
      <c r="K406" t="s">
        <v>878</v>
      </c>
      <c r="L406" s="9">
        <v>46063</v>
      </c>
      <c r="M406" s="9">
        <v>46080</v>
      </c>
      <c r="N406" s="18">
        <f t="shared" ca="1" si="19"/>
        <v>17</v>
      </c>
      <c r="O406" s="9">
        <v>46080</v>
      </c>
      <c r="P406" s="9" t="str">
        <f t="shared" si="20"/>
        <v>✅ Ja</v>
      </c>
      <c r="Q406" t="s">
        <v>849</v>
      </c>
      <c r="R406" t="s">
        <v>841</v>
      </c>
      <c r="S406" t="s">
        <v>838</v>
      </c>
      <c r="T406" t="s">
        <v>540</v>
      </c>
      <c r="U406" t="s">
        <v>617</v>
      </c>
    </row>
    <row r="407" spans="2:21" x14ac:dyDescent="0.25">
      <c r="B407" t="s">
        <v>192</v>
      </c>
      <c r="C407" t="s">
        <v>462</v>
      </c>
      <c r="D407" t="str">
        <f>IF(_xlfn.XLOOKUP(C407, ABZ!A:A, ABZ!B:B, "", 0) = 0, "", _xlfn.XLOOKUP(C407, ABZ!A:A, ABZ!B:B, "", 0))</f>
        <v>SUP-TCO-KnowledgeManagement</v>
      </c>
      <c r="E407" t="s">
        <v>834</v>
      </c>
      <c r="F407" t="s">
        <v>527</v>
      </c>
      <c r="I407">
        <f t="shared" si="18"/>
        <v>0</v>
      </c>
      <c r="J407" t="s">
        <v>875</v>
      </c>
      <c r="K407" t="s">
        <v>878</v>
      </c>
      <c r="L407" s="9">
        <v>46063</v>
      </c>
      <c r="M407" s="9">
        <v>46080</v>
      </c>
      <c r="N407" s="18">
        <f t="shared" ca="1" si="19"/>
        <v>17</v>
      </c>
      <c r="O407" s="9">
        <v>46080</v>
      </c>
      <c r="P407" s="9" t="str">
        <f t="shared" si="20"/>
        <v>✅ Ja</v>
      </c>
      <c r="Q407" t="s">
        <v>836</v>
      </c>
      <c r="S407" t="s">
        <v>838</v>
      </c>
      <c r="T407" t="s">
        <v>540</v>
      </c>
      <c r="U407" t="s">
        <v>617</v>
      </c>
    </row>
    <row r="408" spans="2:21" x14ac:dyDescent="0.25">
      <c r="B408" t="s">
        <v>192</v>
      </c>
      <c r="C408" t="s">
        <v>462</v>
      </c>
      <c r="D408" t="str">
        <f>IF(_xlfn.XLOOKUP(C408, ABZ!A:A, ABZ!B:B, "", 0) = 0, "", _xlfn.XLOOKUP(C408, ABZ!A:A, ABZ!B:B, "", 0))</f>
        <v>SUP-TCO-KnowledgeManagement</v>
      </c>
      <c r="E408" t="s">
        <v>834</v>
      </c>
      <c r="F408" t="s">
        <v>535</v>
      </c>
      <c r="I408">
        <f t="shared" si="18"/>
        <v>0</v>
      </c>
      <c r="J408" t="s">
        <v>875</v>
      </c>
      <c r="K408" t="s">
        <v>878</v>
      </c>
      <c r="L408" s="9">
        <v>46063</v>
      </c>
      <c r="M408" s="9">
        <v>46080</v>
      </c>
      <c r="N408" s="18">
        <f t="shared" ca="1" si="19"/>
        <v>17</v>
      </c>
      <c r="O408" s="9">
        <v>46080</v>
      </c>
      <c r="P408" s="9" t="str">
        <f t="shared" si="20"/>
        <v>✅ Ja</v>
      </c>
      <c r="Q408" t="s">
        <v>842</v>
      </c>
      <c r="S408" t="s">
        <v>838</v>
      </c>
      <c r="T408" t="s">
        <v>540</v>
      </c>
      <c r="U408" t="s">
        <v>617</v>
      </c>
    </row>
    <row r="409" spans="2:21" x14ac:dyDescent="0.25">
      <c r="B409" t="s">
        <v>193</v>
      </c>
      <c r="C409" t="s">
        <v>461</v>
      </c>
      <c r="D409" t="str">
        <f>IF(_xlfn.XLOOKUP(C409, ABZ!A:A, ABZ!B:B, "", 0) = 0, "", _xlfn.XLOOKUP(C409, ABZ!A:A, ABZ!B:B, "", 0))</f>
        <v>D2C-MarketingContent</v>
      </c>
      <c r="E409" t="s">
        <v>834</v>
      </c>
      <c r="F409" t="s">
        <v>529</v>
      </c>
      <c r="I409">
        <f t="shared" si="18"/>
        <v>0</v>
      </c>
      <c r="J409" t="s">
        <v>875</v>
      </c>
      <c r="K409" t="s">
        <v>878</v>
      </c>
      <c r="L409" s="9">
        <v>46063</v>
      </c>
      <c r="M409" s="9">
        <v>46065</v>
      </c>
      <c r="N409" s="18">
        <f t="shared" ca="1" si="19"/>
        <v>2</v>
      </c>
      <c r="O409" s="9">
        <v>46066</v>
      </c>
      <c r="P409" s="9" t="str">
        <f t="shared" si="20"/>
        <v>✅ Ja</v>
      </c>
      <c r="Q409" t="s">
        <v>837</v>
      </c>
      <c r="S409" t="s">
        <v>841</v>
      </c>
      <c r="T409" t="s">
        <v>540</v>
      </c>
      <c r="U409" t="s">
        <v>618</v>
      </c>
    </row>
    <row r="410" spans="2:21" x14ac:dyDescent="0.25">
      <c r="B410" t="s">
        <v>193</v>
      </c>
      <c r="C410" t="s">
        <v>461</v>
      </c>
      <c r="D410" t="str">
        <f>IF(_xlfn.XLOOKUP(C410, ABZ!A:A, ABZ!B:B, "", 0) = 0, "", _xlfn.XLOOKUP(C410, ABZ!A:A, ABZ!B:B, "", 0))</f>
        <v>D2C-MarketingContent</v>
      </c>
      <c r="E410" t="s">
        <v>834</v>
      </c>
      <c r="F410" t="s">
        <v>530</v>
      </c>
      <c r="I410">
        <f t="shared" si="18"/>
        <v>0</v>
      </c>
      <c r="J410" t="s">
        <v>875</v>
      </c>
      <c r="K410" t="s">
        <v>878</v>
      </c>
      <c r="L410" s="9">
        <v>46063</v>
      </c>
      <c r="M410" s="9">
        <v>46065</v>
      </c>
      <c r="N410" s="18">
        <f t="shared" ca="1" si="19"/>
        <v>2</v>
      </c>
      <c r="O410" s="9">
        <v>46066</v>
      </c>
      <c r="P410" s="9" t="str">
        <f t="shared" si="20"/>
        <v>✅ Ja</v>
      </c>
      <c r="Q410" t="s">
        <v>844</v>
      </c>
      <c r="S410" t="s">
        <v>841</v>
      </c>
      <c r="T410" t="s">
        <v>540</v>
      </c>
      <c r="U410" t="s">
        <v>618</v>
      </c>
    </row>
    <row r="411" spans="2:21" x14ac:dyDescent="0.25">
      <c r="B411" t="s">
        <v>193</v>
      </c>
      <c r="C411" t="s">
        <v>461</v>
      </c>
      <c r="D411" t="str">
        <f>IF(_xlfn.XLOOKUP(C411, ABZ!A:A, ABZ!B:B, "", 0) = 0, "", _xlfn.XLOOKUP(C411, ABZ!A:A, ABZ!B:B, "", 0))</f>
        <v>D2C-MarketingContent</v>
      </c>
      <c r="E411" t="s">
        <v>834</v>
      </c>
      <c r="F411" t="s">
        <v>531</v>
      </c>
      <c r="I411">
        <f t="shared" si="18"/>
        <v>0</v>
      </c>
      <c r="J411" t="s">
        <v>875</v>
      </c>
      <c r="K411" t="s">
        <v>878</v>
      </c>
      <c r="L411" s="9">
        <v>46063</v>
      </c>
      <c r="M411" s="9">
        <v>46065</v>
      </c>
      <c r="N411" s="18">
        <f t="shared" ca="1" si="19"/>
        <v>2</v>
      </c>
      <c r="O411" s="9">
        <v>46066</v>
      </c>
      <c r="P411" s="9" t="str">
        <f t="shared" si="20"/>
        <v>✅ Ja</v>
      </c>
      <c r="Q411" t="s">
        <v>840</v>
      </c>
      <c r="S411" t="s">
        <v>841</v>
      </c>
      <c r="T411" t="s">
        <v>540</v>
      </c>
      <c r="U411" t="s">
        <v>618</v>
      </c>
    </row>
    <row r="412" spans="2:21" x14ac:dyDescent="0.25">
      <c r="B412" t="s">
        <v>193</v>
      </c>
      <c r="C412" t="s">
        <v>461</v>
      </c>
      <c r="D412" t="str">
        <f>IF(_xlfn.XLOOKUP(C412, ABZ!A:A, ABZ!B:B, "", 0) = 0, "", _xlfn.XLOOKUP(C412, ABZ!A:A, ABZ!B:B, "", 0))</f>
        <v>D2C-MarketingContent</v>
      </c>
      <c r="E412" t="s">
        <v>834</v>
      </c>
      <c r="F412" t="s">
        <v>528</v>
      </c>
      <c r="I412">
        <f t="shared" si="18"/>
        <v>0</v>
      </c>
      <c r="L412" s="9">
        <v>46063</v>
      </c>
      <c r="M412" s="9">
        <v>46064</v>
      </c>
      <c r="N412" s="18">
        <f t="shared" ca="1" si="19"/>
        <v>1</v>
      </c>
      <c r="O412" s="9">
        <v>46066</v>
      </c>
      <c r="P412" s="9" t="str">
        <f t="shared" si="20"/>
        <v>✅ Ja</v>
      </c>
      <c r="Q412" t="s">
        <v>841</v>
      </c>
      <c r="S412" t="s">
        <v>841</v>
      </c>
      <c r="T412" t="s">
        <v>540</v>
      </c>
      <c r="U412" t="s">
        <v>618</v>
      </c>
    </row>
    <row r="413" spans="2:21" x14ac:dyDescent="0.25">
      <c r="B413" t="s">
        <v>193</v>
      </c>
      <c r="C413" t="s">
        <v>461</v>
      </c>
      <c r="D413" t="str">
        <f>IF(_xlfn.XLOOKUP(C413, ABZ!A:A, ABZ!B:B, "", 0) = 0, "", _xlfn.XLOOKUP(C413, ABZ!A:A, ABZ!B:B, "", 0))</f>
        <v>D2C-MarketingContent</v>
      </c>
      <c r="E413" t="s">
        <v>834</v>
      </c>
      <c r="F413" t="s">
        <v>527</v>
      </c>
      <c r="I413">
        <f t="shared" si="18"/>
        <v>0</v>
      </c>
      <c r="J413" t="s">
        <v>874</v>
      </c>
      <c r="L413" s="9">
        <v>46063</v>
      </c>
      <c r="M413" s="9">
        <v>46065</v>
      </c>
      <c r="N413" s="18">
        <f t="shared" ca="1" si="19"/>
        <v>2</v>
      </c>
      <c r="O413" s="9">
        <v>46066</v>
      </c>
      <c r="P413" s="9" t="str">
        <f t="shared" si="20"/>
        <v>✅ Ja</v>
      </c>
      <c r="Q413" t="s">
        <v>836</v>
      </c>
      <c r="S413" t="s">
        <v>841</v>
      </c>
      <c r="T413" t="s">
        <v>540</v>
      </c>
      <c r="U413" t="s">
        <v>618</v>
      </c>
    </row>
    <row r="414" spans="2:21" x14ac:dyDescent="0.25">
      <c r="B414" t="s">
        <v>194</v>
      </c>
      <c r="C414" t="s">
        <v>499</v>
      </c>
      <c r="D414" t="str">
        <f>IF(_xlfn.XLOOKUP(C414, ABZ!A:A, ABZ!B:B, "", 0) = 0, "", _xlfn.XLOOKUP(C414, ABZ!A:A, ABZ!B:B, "", 0))</f>
        <v>ENT-UIC-HtmlAndMiddleware</v>
      </c>
      <c r="E414" t="s">
        <v>834</v>
      </c>
      <c r="F414" t="s">
        <v>529</v>
      </c>
      <c r="I414">
        <f t="shared" si="18"/>
        <v>0</v>
      </c>
      <c r="J414" t="s">
        <v>874</v>
      </c>
      <c r="L414" s="9">
        <v>46063</v>
      </c>
      <c r="M414" s="9">
        <v>46073</v>
      </c>
      <c r="N414" s="18">
        <f t="shared" ca="1" si="19"/>
        <v>10</v>
      </c>
      <c r="O414" s="9">
        <v>46073</v>
      </c>
      <c r="P414" s="9" t="str">
        <f t="shared" si="20"/>
        <v>✅ Ja</v>
      </c>
      <c r="Q414" t="s">
        <v>837</v>
      </c>
      <c r="S414" t="s">
        <v>838</v>
      </c>
      <c r="T414" t="s">
        <v>540</v>
      </c>
      <c r="U414" t="s">
        <v>619</v>
      </c>
    </row>
    <row r="415" spans="2:21" x14ac:dyDescent="0.25">
      <c r="B415" t="s">
        <v>194</v>
      </c>
      <c r="C415" t="s">
        <v>499</v>
      </c>
      <c r="D415" t="str">
        <f>IF(_xlfn.XLOOKUP(C415, ABZ!A:A, ABZ!B:B, "", 0) = 0, "", _xlfn.XLOOKUP(C415, ABZ!A:A, ABZ!B:B, "", 0))</f>
        <v>ENT-UIC-HtmlAndMiddleware</v>
      </c>
      <c r="E415" t="s">
        <v>834</v>
      </c>
      <c r="F415" t="s">
        <v>530</v>
      </c>
      <c r="I415">
        <f t="shared" si="18"/>
        <v>0</v>
      </c>
      <c r="J415" t="s">
        <v>874</v>
      </c>
      <c r="L415" s="9">
        <v>46063</v>
      </c>
      <c r="M415" s="9">
        <v>46073</v>
      </c>
      <c r="N415" s="18">
        <f t="shared" ca="1" si="19"/>
        <v>10</v>
      </c>
      <c r="O415" s="9">
        <v>46073</v>
      </c>
      <c r="P415" s="9" t="str">
        <f t="shared" si="20"/>
        <v>✅ Ja</v>
      </c>
      <c r="Q415" t="s">
        <v>844</v>
      </c>
      <c r="R415" t="s">
        <v>839</v>
      </c>
      <c r="S415" t="s">
        <v>838</v>
      </c>
      <c r="T415" t="s">
        <v>540</v>
      </c>
      <c r="U415" t="s">
        <v>619</v>
      </c>
    </row>
    <row r="416" spans="2:21" x14ac:dyDescent="0.25">
      <c r="B416" t="s">
        <v>194</v>
      </c>
      <c r="C416" t="s">
        <v>499</v>
      </c>
      <c r="D416" t="str">
        <f>IF(_xlfn.XLOOKUP(C416, ABZ!A:A, ABZ!B:B, "", 0) = 0, "", _xlfn.XLOOKUP(C416, ABZ!A:A, ABZ!B:B, "", 0))</f>
        <v>ENT-UIC-HtmlAndMiddleware</v>
      </c>
      <c r="E416" t="s">
        <v>834</v>
      </c>
      <c r="F416" t="s">
        <v>531</v>
      </c>
      <c r="I416">
        <f t="shared" si="18"/>
        <v>0</v>
      </c>
      <c r="J416" t="s">
        <v>874</v>
      </c>
      <c r="L416" s="9">
        <v>46063</v>
      </c>
      <c r="M416" s="9">
        <v>46073</v>
      </c>
      <c r="N416" s="18">
        <f t="shared" ca="1" si="19"/>
        <v>10</v>
      </c>
      <c r="O416" s="9">
        <v>46073</v>
      </c>
      <c r="P416" s="9" t="str">
        <f t="shared" si="20"/>
        <v>✅ Ja</v>
      </c>
      <c r="Q416" t="s">
        <v>843</v>
      </c>
      <c r="S416" t="s">
        <v>838</v>
      </c>
      <c r="T416" t="s">
        <v>540</v>
      </c>
      <c r="U416" t="s">
        <v>619</v>
      </c>
    </row>
    <row r="417" spans="2:21" x14ac:dyDescent="0.25">
      <c r="B417" t="s">
        <v>194</v>
      </c>
      <c r="C417" t="s">
        <v>499</v>
      </c>
      <c r="D417" t="str">
        <f>IF(_xlfn.XLOOKUP(C417, ABZ!A:A, ABZ!B:B, "", 0) = 0, "", _xlfn.XLOOKUP(C417, ABZ!A:A, ABZ!B:B, "", 0))</f>
        <v>ENT-UIC-HtmlAndMiddleware</v>
      </c>
      <c r="E417" t="s">
        <v>834</v>
      </c>
      <c r="F417" t="s">
        <v>528</v>
      </c>
      <c r="I417">
        <f t="shared" si="18"/>
        <v>0</v>
      </c>
      <c r="J417" t="s">
        <v>874</v>
      </c>
      <c r="L417" s="9">
        <v>46063</v>
      </c>
      <c r="M417" s="9">
        <v>46073</v>
      </c>
      <c r="N417" s="18">
        <f t="shared" ca="1" si="19"/>
        <v>10</v>
      </c>
      <c r="O417" s="9">
        <v>46073</v>
      </c>
      <c r="P417" s="9" t="str">
        <f t="shared" si="20"/>
        <v>✅ Ja</v>
      </c>
      <c r="Q417" t="s">
        <v>841</v>
      </c>
      <c r="S417" t="s">
        <v>838</v>
      </c>
      <c r="T417" t="s">
        <v>540</v>
      </c>
      <c r="U417" t="s">
        <v>619</v>
      </c>
    </row>
    <row r="418" spans="2:21" x14ac:dyDescent="0.25">
      <c r="B418" t="s">
        <v>194</v>
      </c>
      <c r="C418" t="s">
        <v>499</v>
      </c>
      <c r="D418" t="str">
        <f>IF(_xlfn.XLOOKUP(C418, ABZ!A:A, ABZ!B:B, "", 0) = 0, "", _xlfn.XLOOKUP(C418, ABZ!A:A, ABZ!B:B, "", 0))</f>
        <v>ENT-UIC-HtmlAndMiddleware</v>
      </c>
      <c r="E418" t="s">
        <v>834</v>
      </c>
      <c r="F418" t="s">
        <v>527</v>
      </c>
      <c r="I418">
        <f t="shared" si="18"/>
        <v>0</v>
      </c>
      <c r="J418" t="s">
        <v>874</v>
      </c>
      <c r="L418" s="9">
        <v>46063</v>
      </c>
      <c r="M418" s="9">
        <v>46073</v>
      </c>
      <c r="N418" s="18">
        <f t="shared" ca="1" si="19"/>
        <v>10</v>
      </c>
      <c r="O418" s="9">
        <v>46073</v>
      </c>
      <c r="P418" s="9" t="str">
        <f t="shared" si="20"/>
        <v>✅ Ja</v>
      </c>
      <c r="Q418" t="s">
        <v>836</v>
      </c>
      <c r="S418" t="s">
        <v>838</v>
      </c>
      <c r="T418" t="s">
        <v>540</v>
      </c>
      <c r="U418" t="s">
        <v>619</v>
      </c>
    </row>
    <row r="419" spans="2:21" x14ac:dyDescent="0.25">
      <c r="B419" t="s">
        <v>194</v>
      </c>
      <c r="C419" t="s">
        <v>499</v>
      </c>
      <c r="D419" t="str">
        <f>IF(_xlfn.XLOOKUP(C419, ABZ!A:A, ABZ!B:B, "", 0) = 0, "", _xlfn.XLOOKUP(C419, ABZ!A:A, ABZ!B:B, "", 0))</f>
        <v>ENT-UIC-HtmlAndMiddleware</v>
      </c>
      <c r="E419" t="s">
        <v>834</v>
      </c>
      <c r="F419" t="s">
        <v>535</v>
      </c>
      <c r="I419">
        <f t="shared" si="18"/>
        <v>0</v>
      </c>
      <c r="J419" t="s">
        <v>874</v>
      </c>
      <c r="L419" s="9">
        <v>46063</v>
      </c>
      <c r="M419" s="9">
        <v>46073</v>
      </c>
      <c r="N419" s="18">
        <f t="shared" ca="1" si="19"/>
        <v>10</v>
      </c>
      <c r="O419" s="9">
        <v>46073</v>
      </c>
      <c r="P419" s="9" t="str">
        <f t="shared" si="20"/>
        <v>✅ Ja</v>
      </c>
      <c r="Q419" t="s">
        <v>842</v>
      </c>
      <c r="S419" t="s">
        <v>838</v>
      </c>
      <c r="T419" t="s">
        <v>540</v>
      </c>
      <c r="U419" t="s">
        <v>619</v>
      </c>
    </row>
    <row r="420" spans="2:21" x14ac:dyDescent="0.25">
      <c r="B420" t="s">
        <v>194</v>
      </c>
      <c r="C420" t="s">
        <v>499</v>
      </c>
      <c r="D420" t="str">
        <f>IF(_xlfn.XLOOKUP(C420, ABZ!A:A, ABZ!B:B, "", 0) = 0, "", _xlfn.XLOOKUP(C420, ABZ!A:A, ABZ!B:B, "", 0))</f>
        <v>ENT-UIC-HtmlAndMiddleware</v>
      </c>
      <c r="E420" t="s">
        <v>834</v>
      </c>
      <c r="F420" t="s">
        <v>538</v>
      </c>
      <c r="I420">
        <f t="shared" si="18"/>
        <v>0</v>
      </c>
      <c r="J420" t="s">
        <v>874</v>
      </c>
      <c r="L420" s="9">
        <v>46063</v>
      </c>
      <c r="M420" s="9">
        <v>46073</v>
      </c>
      <c r="N420" s="18">
        <f t="shared" ca="1" si="19"/>
        <v>10</v>
      </c>
      <c r="O420" s="9">
        <v>46073</v>
      </c>
      <c r="P420" s="9" t="str">
        <f t="shared" si="20"/>
        <v>✅ Ja</v>
      </c>
      <c r="Q420" t="s">
        <v>842</v>
      </c>
      <c r="S420" t="s">
        <v>838</v>
      </c>
      <c r="T420" t="s">
        <v>540</v>
      </c>
      <c r="U420" t="s">
        <v>619</v>
      </c>
    </row>
    <row r="421" spans="2:21" x14ac:dyDescent="0.25">
      <c r="B421" t="s">
        <v>195</v>
      </c>
      <c r="C421" t="s">
        <v>461</v>
      </c>
      <c r="D421" t="str">
        <f>IF(_xlfn.XLOOKUP(C421, ABZ!A:A, ABZ!B:B, "", 0) = 0, "", _xlfn.XLOOKUP(C421, ABZ!A:A, ABZ!B:B, "", 0))</f>
        <v>D2C-MarketingContent</v>
      </c>
      <c r="E421" t="s">
        <v>834</v>
      </c>
      <c r="F421" t="s">
        <v>529</v>
      </c>
      <c r="I421">
        <f t="shared" si="18"/>
        <v>0</v>
      </c>
      <c r="J421" t="s">
        <v>874</v>
      </c>
      <c r="L421" s="9">
        <v>46064</v>
      </c>
      <c r="M421" s="9">
        <v>46073</v>
      </c>
      <c r="N421" s="18">
        <f t="shared" ca="1" si="19"/>
        <v>9</v>
      </c>
      <c r="O421" s="9">
        <v>46071</v>
      </c>
      <c r="P421" s="9" t="str">
        <f t="shared" si="20"/>
        <v>❌ Nein</v>
      </c>
      <c r="Q421" t="s">
        <v>837</v>
      </c>
      <c r="S421" t="s">
        <v>841</v>
      </c>
      <c r="T421" t="s">
        <v>540</v>
      </c>
      <c r="U421" t="s">
        <v>618</v>
      </c>
    </row>
    <row r="422" spans="2:21" x14ac:dyDescent="0.25">
      <c r="B422" t="s">
        <v>195</v>
      </c>
      <c r="C422" t="s">
        <v>461</v>
      </c>
      <c r="D422" t="str">
        <f>IF(_xlfn.XLOOKUP(C422, ABZ!A:A, ABZ!B:B, "", 0) = 0, "", _xlfn.XLOOKUP(C422, ABZ!A:A, ABZ!B:B, "", 0))</f>
        <v>D2C-MarketingContent</v>
      </c>
      <c r="E422" t="s">
        <v>834</v>
      </c>
      <c r="F422" t="s">
        <v>530</v>
      </c>
      <c r="I422">
        <f t="shared" si="18"/>
        <v>0</v>
      </c>
      <c r="J422" t="s">
        <v>874</v>
      </c>
      <c r="L422" s="9">
        <v>46064</v>
      </c>
      <c r="M422" s="9">
        <v>46073</v>
      </c>
      <c r="N422" s="18">
        <f t="shared" ca="1" si="19"/>
        <v>9</v>
      </c>
      <c r="O422" s="9">
        <v>46071</v>
      </c>
      <c r="P422" s="9" t="str">
        <f t="shared" si="20"/>
        <v>❌ Nein</v>
      </c>
      <c r="Q422" t="s">
        <v>844</v>
      </c>
      <c r="S422" t="s">
        <v>841</v>
      </c>
      <c r="T422" t="s">
        <v>540</v>
      </c>
      <c r="U422" t="s">
        <v>618</v>
      </c>
    </row>
    <row r="423" spans="2:21" x14ac:dyDescent="0.25">
      <c r="B423" t="s">
        <v>195</v>
      </c>
      <c r="C423" t="s">
        <v>461</v>
      </c>
      <c r="D423" t="str">
        <f>IF(_xlfn.XLOOKUP(C423, ABZ!A:A, ABZ!B:B, "", 0) = 0, "", _xlfn.XLOOKUP(C423, ABZ!A:A, ABZ!B:B, "", 0))</f>
        <v>D2C-MarketingContent</v>
      </c>
      <c r="E423" t="s">
        <v>834</v>
      </c>
      <c r="F423" t="s">
        <v>531</v>
      </c>
      <c r="I423">
        <f t="shared" si="18"/>
        <v>0</v>
      </c>
      <c r="J423" t="s">
        <v>874</v>
      </c>
      <c r="L423" s="9">
        <v>46064</v>
      </c>
      <c r="M423" s="9">
        <v>46073</v>
      </c>
      <c r="N423" s="18">
        <f t="shared" ca="1" si="19"/>
        <v>9</v>
      </c>
      <c r="O423" s="9">
        <v>46071</v>
      </c>
      <c r="P423" s="9" t="str">
        <f t="shared" si="20"/>
        <v>❌ Nein</v>
      </c>
      <c r="Q423" t="s">
        <v>843</v>
      </c>
      <c r="S423" t="s">
        <v>841</v>
      </c>
      <c r="T423" t="s">
        <v>540</v>
      </c>
      <c r="U423" t="s">
        <v>618</v>
      </c>
    </row>
    <row r="424" spans="2:21" x14ac:dyDescent="0.25">
      <c r="B424" t="s">
        <v>195</v>
      </c>
      <c r="C424" t="s">
        <v>461</v>
      </c>
      <c r="D424" t="str">
        <f>IF(_xlfn.XLOOKUP(C424, ABZ!A:A, ABZ!B:B, "", 0) = 0, "", _xlfn.XLOOKUP(C424, ABZ!A:A, ABZ!B:B, "", 0))</f>
        <v>D2C-MarketingContent</v>
      </c>
      <c r="E424" t="s">
        <v>834</v>
      </c>
      <c r="F424" t="s">
        <v>528</v>
      </c>
      <c r="I424">
        <f t="shared" si="18"/>
        <v>0</v>
      </c>
      <c r="L424" s="9">
        <v>46064</v>
      </c>
      <c r="M424" s="9">
        <v>46073</v>
      </c>
      <c r="N424" s="18">
        <f t="shared" ca="1" si="19"/>
        <v>9</v>
      </c>
      <c r="O424" s="9">
        <v>46071</v>
      </c>
      <c r="P424" s="9" t="str">
        <f t="shared" si="20"/>
        <v>❌ Nein</v>
      </c>
      <c r="Q424" t="s">
        <v>841</v>
      </c>
      <c r="S424" t="s">
        <v>841</v>
      </c>
      <c r="T424" t="s">
        <v>540</v>
      </c>
      <c r="U424" t="s">
        <v>618</v>
      </c>
    </row>
    <row r="425" spans="2:21" x14ac:dyDescent="0.25">
      <c r="B425" t="s">
        <v>195</v>
      </c>
      <c r="C425" t="s">
        <v>461</v>
      </c>
      <c r="D425" t="str">
        <f>IF(_xlfn.XLOOKUP(C425, ABZ!A:A, ABZ!B:B, "", 0) = 0, "", _xlfn.XLOOKUP(C425, ABZ!A:A, ABZ!B:B, "", 0))</f>
        <v>D2C-MarketingContent</v>
      </c>
      <c r="E425" t="s">
        <v>834</v>
      </c>
      <c r="F425" t="s">
        <v>527</v>
      </c>
      <c r="I425">
        <f t="shared" si="18"/>
        <v>0</v>
      </c>
      <c r="L425" s="9">
        <v>46064</v>
      </c>
      <c r="M425" s="9">
        <v>46073</v>
      </c>
      <c r="N425" s="18">
        <f t="shared" ca="1" si="19"/>
        <v>9</v>
      </c>
      <c r="O425" s="9">
        <v>46071</v>
      </c>
      <c r="P425" s="9" t="str">
        <f t="shared" si="20"/>
        <v>❌ Nein</v>
      </c>
      <c r="Q425" t="s">
        <v>836</v>
      </c>
      <c r="S425" t="s">
        <v>841</v>
      </c>
      <c r="T425" t="s">
        <v>540</v>
      </c>
      <c r="U425" t="s">
        <v>618</v>
      </c>
    </row>
    <row r="426" spans="2:21" x14ac:dyDescent="0.25">
      <c r="B426" t="s">
        <v>196</v>
      </c>
      <c r="C426" t="s">
        <v>500</v>
      </c>
      <c r="D426" t="str">
        <f>IF(_xlfn.XLOOKUP(C426, ABZ!A:A, ABZ!B:B, "", 0) = 0, "", _xlfn.XLOOKUP(C426, ABZ!A:A, ABZ!B:B, "", 0))</f>
        <v>VTR-PS-INT-AreaSales</v>
      </c>
      <c r="E426" t="s">
        <v>834</v>
      </c>
      <c r="F426" t="s">
        <v>529</v>
      </c>
      <c r="I426">
        <f t="shared" si="18"/>
        <v>1</v>
      </c>
      <c r="L426" s="9">
        <v>46064</v>
      </c>
      <c r="M426" s="9">
        <v>46065</v>
      </c>
      <c r="N426" s="18">
        <f t="shared" ca="1" si="19"/>
        <v>1</v>
      </c>
      <c r="O426" s="9">
        <v>46065</v>
      </c>
      <c r="P426" s="9" t="str">
        <f t="shared" si="20"/>
        <v>✅ Ja</v>
      </c>
      <c r="Q426" t="s">
        <v>846</v>
      </c>
      <c r="S426" t="s">
        <v>840</v>
      </c>
      <c r="T426" t="s">
        <v>540</v>
      </c>
      <c r="U426" t="s">
        <v>620</v>
      </c>
    </row>
    <row r="427" spans="2:21" x14ac:dyDescent="0.25">
      <c r="B427" t="s">
        <v>197</v>
      </c>
      <c r="C427" t="s">
        <v>500</v>
      </c>
      <c r="D427" t="str">
        <f>IF(_xlfn.XLOOKUP(C427, ABZ!A:A, ABZ!B:B, "", 0) = 0, "", _xlfn.XLOOKUP(C427, ABZ!A:A, ABZ!B:B, "", 0))</f>
        <v>VTR-PS-INT-AreaSales</v>
      </c>
      <c r="E427" t="s">
        <v>834</v>
      </c>
      <c r="F427" t="s">
        <v>529</v>
      </c>
      <c r="I427">
        <f t="shared" si="18"/>
        <v>1</v>
      </c>
      <c r="L427" s="9">
        <v>46064</v>
      </c>
      <c r="M427" s="9">
        <v>46065</v>
      </c>
      <c r="N427" s="18">
        <f t="shared" ca="1" si="19"/>
        <v>1</v>
      </c>
      <c r="O427" s="9">
        <v>46065</v>
      </c>
      <c r="P427" s="9" t="str">
        <f t="shared" si="20"/>
        <v>✅ Ja</v>
      </c>
      <c r="Q427" t="s">
        <v>846</v>
      </c>
      <c r="S427" t="s">
        <v>840</v>
      </c>
      <c r="T427" t="s">
        <v>540</v>
      </c>
      <c r="U427" t="s">
        <v>620</v>
      </c>
    </row>
    <row r="428" spans="2:21" x14ac:dyDescent="0.25">
      <c r="B428" t="s">
        <v>198</v>
      </c>
      <c r="C428" t="s">
        <v>500</v>
      </c>
      <c r="D428" t="str">
        <f>IF(_xlfn.XLOOKUP(C428, ABZ!A:A, ABZ!B:B, "", 0) = 0, "", _xlfn.XLOOKUP(C428, ABZ!A:A, ABZ!B:B, "", 0))</f>
        <v>VTR-PS-INT-AreaSales</v>
      </c>
      <c r="E428" t="s">
        <v>834</v>
      </c>
      <c r="F428" t="s">
        <v>529</v>
      </c>
      <c r="I428">
        <f t="shared" si="18"/>
        <v>1</v>
      </c>
      <c r="L428" s="9">
        <v>46064</v>
      </c>
      <c r="M428" s="9">
        <v>46065</v>
      </c>
      <c r="N428" s="18">
        <f t="shared" ca="1" si="19"/>
        <v>1</v>
      </c>
      <c r="O428" s="9">
        <v>46065</v>
      </c>
      <c r="P428" s="9" t="str">
        <f t="shared" si="20"/>
        <v>✅ Ja</v>
      </c>
      <c r="Q428" t="s">
        <v>846</v>
      </c>
      <c r="S428" t="s">
        <v>840</v>
      </c>
      <c r="T428" t="s">
        <v>540</v>
      </c>
      <c r="U428" t="s">
        <v>620</v>
      </c>
    </row>
    <row r="429" spans="2:21" x14ac:dyDescent="0.25">
      <c r="B429" t="s">
        <v>199</v>
      </c>
      <c r="C429" t="s">
        <v>500</v>
      </c>
      <c r="D429" t="str">
        <f>IF(_xlfn.XLOOKUP(C429, ABZ!A:A, ABZ!B:B, "", 0) = 0, "", _xlfn.XLOOKUP(C429, ABZ!A:A, ABZ!B:B, "", 0))</f>
        <v>VTR-PS-INT-AreaSales</v>
      </c>
      <c r="E429" t="s">
        <v>834</v>
      </c>
      <c r="F429" t="s">
        <v>529</v>
      </c>
      <c r="I429">
        <f t="shared" si="18"/>
        <v>1</v>
      </c>
      <c r="L429" s="9">
        <v>46064</v>
      </c>
      <c r="M429" s="9">
        <v>46065</v>
      </c>
      <c r="N429" s="18">
        <f t="shared" ca="1" si="19"/>
        <v>1</v>
      </c>
      <c r="O429" s="9">
        <v>46065</v>
      </c>
      <c r="P429" s="9" t="str">
        <f t="shared" si="20"/>
        <v>✅ Ja</v>
      </c>
      <c r="Q429" t="s">
        <v>846</v>
      </c>
      <c r="S429" t="s">
        <v>840</v>
      </c>
      <c r="T429" t="s">
        <v>540</v>
      </c>
      <c r="U429" t="s">
        <v>620</v>
      </c>
    </row>
    <row r="430" spans="2:21" x14ac:dyDescent="0.25">
      <c r="B430" t="s">
        <v>200</v>
      </c>
      <c r="C430" t="s">
        <v>500</v>
      </c>
      <c r="D430" t="str">
        <f>IF(_xlfn.XLOOKUP(C430, ABZ!A:A, ABZ!B:B, "", 0) = 0, "", _xlfn.XLOOKUP(C430, ABZ!A:A, ABZ!B:B, "", 0))</f>
        <v>VTR-PS-INT-AreaSales</v>
      </c>
      <c r="E430" t="s">
        <v>834</v>
      </c>
      <c r="F430" t="s">
        <v>529</v>
      </c>
      <c r="I430">
        <f t="shared" si="18"/>
        <v>1</v>
      </c>
      <c r="L430" s="9">
        <v>46064</v>
      </c>
      <c r="M430" s="9">
        <v>46065</v>
      </c>
      <c r="N430" s="18">
        <f t="shared" ca="1" si="19"/>
        <v>1</v>
      </c>
      <c r="O430" s="9">
        <v>46065</v>
      </c>
      <c r="P430" s="9" t="str">
        <f t="shared" si="20"/>
        <v>✅ Ja</v>
      </c>
      <c r="Q430" t="s">
        <v>846</v>
      </c>
      <c r="S430" t="s">
        <v>840</v>
      </c>
      <c r="T430" t="s">
        <v>540</v>
      </c>
      <c r="U430" t="s">
        <v>620</v>
      </c>
    </row>
    <row r="431" spans="2:21" x14ac:dyDescent="0.25">
      <c r="B431" t="s">
        <v>201</v>
      </c>
      <c r="C431" t="s">
        <v>500</v>
      </c>
      <c r="D431" t="str">
        <f>IF(_xlfn.XLOOKUP(C431, ABZ!A:A, ABZ!B:B, "", 0) = 0, "", _xlfn.XLOOKUP(C431, ABZ!A:A, ABZ!B:B, "", 0))</f>
        <v>VTR-PS-INT-AreaSales</v>
      </c>
      <c r="E431" t="s">
        <v>834</v>
      </c>
      <c r="F431" t="s">
        <v>529</v>
      </c>
      <c r="I431">
        <f t="shared" si="18"/>
        <v>1</v>
      </c>
      <c r="L431" s="9">
        <v>46064</v>
      </c>
      <c r="M431" s="9">
        <v>46065</v>
      </c>
      <c r="N431" s="18">
        <f t="shared" ca="1" si="19"/>
        <v>1</v>
      </c>
      <c r="O431" s="9">
        <v>46065</v>
      </c>
      <c r="P431" s="9" t="str">
        <f t="shared" si="20"/>
        <v>✅ Ja</v>
      </c>
      <c r="Q431" t="s">
        <v>846</v>
      </c>
      <c r="S431" t="s">
        <v>840</v>
      </c>
      <c r="T431" t="s">
        <v>540</v>
      </c>
      <c r="U431" t="s">
        <v>620</v>
      </c>
    </row>
    <row r="432" spans="2:21" x14ac:dyDescent="0.25">
      <c r="B432" t="s">
        <v>202</v>
      </c>
      <c r="C432" t="s">
        <v>500</v>
      </c>
      <c r="D432" t="str">
        <f>IF(_xlfn.XLOOKUP(C432, ABZ!A:A, ABZ!B:B, "", 0) = 0, "", _xlfn.XLOOKUP(C432, ABZ!A:A, ABZ!B:B, "", 0))</f>
        <v>VTR-PS-INT-AreaSales</v>
      </c>
      <c r="E432" t="s">
        <v>834</v>
      </c>
      <c r="F432" t="s">
        <v>529</v>
      </c>
      <c r="I432">
        <f t="shared" si="18"/>
        <v>1</v>
      </c>
      <c r="L432" s="9">
        <v>46064</v>
      </c>
      <c r="M432" s="9">
        <v>46065</v>
      </c>
      <c r="N432" s="18">
        <f t="shared" ca="1" si="19"/>
        <v>1</v>
      </c>
      <c r="O432" s="9">
        <v>46065</v>
      </c>
      <c r="P432" s="9" t="str">
        <f t="shared" si="20"/>
        <v>✅ Ja</v>
      </c>
      <c r="Q432" t="s">
        <v>846</v>
      </c>
      <c r="S432" t="s">
        <v>840</v>
      </c>
      <c r="T432" t="s">
        <v>540</v>
      </c>
      <c r="U432" t="s">
        <v>620</v>
      </c>
    </row>
    <row r="433" spans="2:21" x14ac:dyDescent="0.25">
      <c r="B433" t="s">
        <v>203</v>
      </c>
      <c r="C433" t="s">
        <v>469</v>
      </c>
      <c r="D433" t="str">
        <f>IF(_xlfn.XLOOKUP(C433, ABZ!A:A, ABZ!B:B, "", 0) = 0, "", _xlfn.XLOOKUP(C433, ABZ!A:A, ABZ!B:B, "", 0))</f>
        <v>VTR-CS-CM-Retail</v>
      </c>
      <c r="E433" t="s">
        <v>835</v>
      </c>
      <c r="F433" t="s">
        <v>532</v>
      </c>
      <c r="G433">
        <v>468</v>
      </c>
      <c r="H433">
        <v>1</v>
      </c>
      <c r="I433">
        <f t="shared" si="18"/>
        <v>0</v>
      </c>
      <c r="L433" s="9">
        <v>46066</v>
      </c>
      <c r="M433" s="9">
        <v>46069</v>
      </c>
      <c r="N433" s="18">
        <f t="shared" ca="1" si="19"/>
        <v>3</v>
      </c>
      <c r="O433" s="9">
        <v>46072</v>
      </c>
      <c r="P433" s="9" t="str">
        <f t="shared" si="20"/>
        <v>✅ Ja</v>
      </c>
      <c r="Q433" t="s">
        <v>838</v>
      </c>
      <c r="S433" t="s">
        <v>839</v>
      </c>
      <c r="T433" t="s">
        <v>540</v>
      </c>
      <c r="U433" t="s">
        <v>591</v>
      </c>
    </row>
    <row r="434" spans="2:21" x14ac:dyDescent="0.25">
      <c r="B434" t="s">
        <v>204</v>
      </c>
      <c r="C434" t="s">
        <v>469</v>
      </c>
      <c r="D434" t="str">
        <f>IF(_xlfn.XLOOKUP(C434, ABZ!A:A, ABZ!B:B, "", 0) = 0, "", _xlfn.XLOOKUP(C434, ABZ!A:A, ABZ!B:B, "", 0))</f>
        <v>VTR-CS-CM-Retail</v>
      </c>
      <c r="E434" t="s">
        <v>834</v>
      </c>
      <c r="F434" t="s">
        <v>529</v>
      </c>
      <c r="G434">
        <v>468</v>
      </c>
      <c r="I434">
        <f t="shared" si="18"/>
        <v>0</v>
      </c>
      <c r="L434" s="9">
        <v>46066</v>
      </c>
      <c r="M434" s="9">
        <v>46072</v>
      </c>
      <c r="N434" s="18">
        <f t="shared" ca="1" si="19"/>
        <v>6</v>
      </c>
      <c r="O434" s="9">
        <v>46072</v>
      </c>
      <c r="P434" s="9" t="str">
        <f t="shared" si="20"/>
        <v>✅ Ja</v>
      </c>
      <c r="Q434" t="s">
        <v>846</v>
      </c>
      <c r="R434" t="s">
        <v>837</v>
      </c>
      <c r="S434" t="s">
        <v>839</v>
      </c>
      <c r="T434" t="s">
        <v>540</v>
      </c>
      <c r="U434" t="s">
        <v>591</v>
      </c>
    </row>
    <row r="435" spans="2:21" x14ac:dyDescent="0.25">
      <c r="B435" t="s">
        <v>204</v>
      </c>
      <c r="C435" t="s">
        <v>469</v>
      </c>
      <c r="D435" t="str">
        <f>IF(_xlfn.XLOOKUP(C435, ABZ!A:A, ABZ!B:B, "", 0) = 0, "", _xlfn.XLOOKUP(C435, ABZ!A:A, ABZ!B:B, "", 0))</f>
        <v>VTR-CS-CM-Retail</v>
      </c>
      <c r="E435" t="s">
        <v>834</v>
      </c>
      <c r="F435" t="s">
        <v>527</v>
      </c>
      <c r="G435">
        <v>468</v>
      </c>
      <c r="I435">
        <f t="shared" si="18"/>
        <v>0</v>
      </c>
      <c r="L435" s="9">
        <v>46066</v>
      </c>
      <c r="M435" s="9">
        <v>46072</v>
      </c>
      <c r="N435" s="18">
        <f t="shared" ca="1" si="19"/>
        <v>6</v>
      </c>
      <c r="O435" s="9">
        <v>46072</v>
      </c>
      <c r="P435" s="9" t="str">
        <f t="shared" si="20"/>
        <v>✅ Ja</v>
      </c>
      <c r="Q435" t="s">
        <v>849</v>
      </c>
      <c r="R435" t="s">
        <v>841</v>
      </c>
      <c r="S435" t="s">
        <v>839</v>
      </c>
      <c r="T435" t="s">
        <v>540</v>
      </c>
      <c r="U435" t="s">
        <v>591</v>
      </c>
    </row>
    <row r="436" spans="2:21" x14ac:dyDescent="0.25">
      <c r="B436" t="s">
        <v>204</v>
      </c>
      <c r="C436" t="s">
        <v>469</v>
      </c>
      <c r="D436" t="str">
        <f>IF(_xlfn.XLOOKUP(C436, ABZ!A:A, ABZ!B:B, "", 0) = 0, "", _xlfn.XLOOKUP(C436, ABZ!A:A, ABZ!B:B, "", 0))</f>
        <v>VTR-CS-CM-Retail</v>
      </c>
      <c r="E436" t="s">
        <v>834</v>
      </c>
      <c r="F436" t="s">
        <v>527</v>
      </c>
      <c r="G436">
        <v>468</v>
      </c>
      <c r="I436">
        <f t="shared" si="18"/>
        <v>0</v>
      </c>
      <c r="L436" s="9">
        <v>46066</v>
      </c>
      <c r="M436" s="9">
        <v>46072</v>
      </c>
      <c r="N436" s="18">
        <f t="shared" ca="1" si="19"/>
        <v>6</v>
      </c>
      <c r="O436" s="9">
        <v>46072</v>
      </c>
      <c r="P436" s="9" t="str">
        <f t="shared" si="20"/>
        <v>✅ Ja</v>
      </c>
      <c r="Q436" t="s">
        <v>836</v>
      </c>
      <c r="S436" t="s">
        <v>839</v>
      </c>
      <c r="T436" t="s">
        <v>540</v>
      </c>
      <c r="U436" t="s">
        <v>591</v>
      </c>
    </row>
    <row r="437" spans="2:21" x14ac:dyDescent="0.25">
      <c r="B437" t="s">
        <v>204</v>
      </c>
      <c r="C437" t="s">
        <v>469</v>
      </c>
      <c r="D437" t="str">
        <f>IF(_xlfn.XLOOKUP(C437, ABZ!A:A, ABZ!B:B, "", 0) = 0, "", _xlfn.XLOOKUP(C437, ABZ!A:A, ABZ!B:B, "", 0))</f>
        <v>VTR-CS-CM-Retail</v>
      </c>
      <c r="E437" t="s">
        <v>834</v>
      </c>
      <c r="F437" t="s">
        <v>531</v>
      </c>
      <c r="G437">
        <v>468</v>
      </c>
      <c r="I437">
        <f t="shared" si="18"/>
        <v>0</v>
      </c>
      <c r="L437" s="9">
        <v>46066</v>
      </c>
      <c r="M437" s="9">
        <v>46072</v>
      </c>
      <c r="N437" s="18">
        <f t="shared" ca="1" si="19"/>
        <v>6</v>
      </c>
      <c r="O437" s="9">
        <v>46072</v>
      </c>
      <c r="P437" s="9" t="str">
        <f t="shared" si="20"/>
        <v>✅ Ja</v>
      </c>
      <c r="Q437" t="s">
        <v>840</v>
      </c>
      <c r="S437" t="s">
        <v>839</v>
      </c>
      <c r="T437" t="s">
        <v>540</v>
      </c>
      <c r="U437" t="s">
        <v>591</v>
      </c>
    </row>
    <row r="438" spans="2:21" x14ac:dyDescent="0.25">
      <c r="B438" t="s">
        <v>204</v>
      </c>
      <c r="C438" t="s">
        <v>469</v>
      </c>
      <c r="D438" t="str">
        <f>IF(_xlfn.XLOOKUP(C438, ABZ!A:A, ABZ!B:B, "", 0) = 0, "", _xlfn.XLOOKUP(C438, ABZ!A:A, ABZ!B:B, "", 0))</f>
        <v>VTR-CS-CM-Retail</v>
      </c>
      <c r="E438" t="s">
        <v>834</v>
      </c>
      <c r="F438" t="s">
        <v>530</v>
      </c>
      <c r="G438">
        <v>468</v>
      </c>
      <c r="I438">
        <f t="shared" si="18"/>
        <v>0</v>
      </c>
      <c r="L438" s="9">
        <v>46066</v>
      </c>
      <c r="M438" s="9">
        <v>46072</v>
      </c>
      <c r="N438" s="18">
        <f t="shared" ca="1" si="19"/>
        <v>6</v>
      </c>
      <c r="O438" s="9">
        <v>46072</v>
      </c>
      <c r="P438" s="9" t="str">
        <f t="shared" si="20"/>
        <v>✅ Ja</v>
      </c>
      <c r="Q438" t="s">
        <v>844</v>
      </c>
      <c r="R438" t="s">
        <v>839</v>
      </c>
      <c r="S438" t="s">
        <v>839</v>
      </c>
      <c r="T438" t="s">
        <v>540</v>
      </c>
      <c r="U438" t="s">
        <v>591</v>
      </c>
    </row>
    <row r="439" spans="2:21" x14ac:dyDescent="0.25">
      <c r="B439" t="s">
        <v>204</v>
      </c>
      <c r="C439" t="s">
        <v>469</v>
      </c>
      <c r="D439" t="str">
        <f>IF(_xlfn.XLOOKUP(C439, ABZ!A:A, ABZ!B:B, "", 0) = 0, "", _xlfn.XLOOKUP(C439, ABZ!A:A, ABZ!B:B, "", 0))</f>
        <v>VTR-CS-CM-Retail</v>
      </c>
      <c r="E439" t="s">
        <v>834</v>
      </c>
      <c r="F439" t="s">
        <v>535</v>
      </c>
      <c r="G439">
        <v>468</v>
      </c>
      <c r="I439">
        <f t="shared" si="18"/>
        <v>0</v>
      </c>
      <c r="L439" s="9">
        <v>46066</v>
      </c>
      <c r="M439" s="9">
        <v>46072</v>
      </c>
      <c r="N439" s="18">
        <f t="shared" ca="1" si="19"/>
        <v>6</v>
      </c>
      <c r="O439" s="9">
        <v>46072</v>
      </c>
      <c r="P439" s="9" t="str">
        <f t="shared" si="20"/>
        <v>✅ Ja</v>
      </c>
      <c r="Q439" t="s">
        <v>842</v>
      </c>
      <c r="S439" t="s">
        <v>839</v>
      </c>
      <c r="T439" t="s">
        <v>540</v>
      </c>
      <c r="U439" t="s">
        <v>591</v>
      </c>
    </row>
    <row r="440" spans="2:21" x14ac:dyDescent="0.25">
      <c r="B440" t="s">
        <v>205</v>
      </c>
      <c r="C440" t="s">
        <v>469</v>
      </c>
      <c r="D440" t="str">
        <f>IF(_xlfn.XLOOKUP(C440, ABZ!A:A, ABZ!B:B, "", 0) = 0, "", _xlfn.XLOOKUP(C440, ABZ!A:A, ABZ!B:B, "", 0))</f>
        <v>VTR-CS-CM-Retail</v>
      </c>
      <c r="E440" t="s">
        <v>835</v>
      </c>
      <c r="F440" t="s">
        <v>532</v>
      </c>
      <c r="G440">
        <v>537</v>
      </c>
      <c r="H440">
        <v>1</v>
      </c>
      <c r="I440">
        <f t="shared" si="18"/>
        <v>0</v>
      </c>
      <c r="L440" s="9">
        <v>46066</v>
      </c>
      <c r="M440" s="9">
        <v>46069</v>
      </c>
      <c r="N440" s="18">
        <f t="shared" ca="1" si="19"/>
        <v>3</v>
      </c>
      <c r="O440" s="9">
        <v>46072</v>
      </c>
      <c r="P440" s="9" t="str">
        <f t="shared" si="20"/>
        <v>✅ Ja</v>
      </c>
      <c r="Q440" t="s">
        <v>838</v>
      </c>
      <c r="S440" t="s">
        <v>839</v>
      </c>
      <c r="T440" t="s">
        <v>540</v>
      </c>
      <c r="U440" t="s">
        <v>591</v>
      </c>
    </row>
    <row r="441" spans="2:21" x14ac:dyDescent="0.25">
      <c r="B441" t="s">
        <v>206</v>
      </c>
      <c r="C441" t="s">
        <v>469</v>
      </c>
      <c r="D441" t="str">
        <f>IF(_xlfn.XLOOKUP(C441, ABZ!A:A, ABZ!B:B, "", 0) = 0, "", _xlfn.XLOOKUP(C441, ABZ!A:A, ABZ!B:B, "", 0))</f>
        <v>VTR-CS-CM-Retail</v>
      </c>
      <c r="E441" t="s">
        <v>834</v>
      </c>
      <c r="F441" t="s">
        <v>529</v>
      </c>
      <c r="G441">
        <v>537</v>
      </c>
      <c r="I441">
        <f t="shared" si="18"/>
        <v>0</v>
      </c>
      <c r="L441" s="9">
        <v>46066</v>
      </c>
      <c r="M441" s="9">
        <v>46072</v>
      </c>
      <c r="N441" s="18">
        <f t="shared" ca="1" si="19"/>
        <v>6</v>
      </c>
      <c r="O441" s="9">
        <v>46072</v>
      </c>
      <c r="P441" s="9" t="str">
        <f t="shared" si="20"/>
        <v>✅ Ja</v>
      </c>
      <c r="Q441" t="s">
        <v>846</v>
      </c>
      <c r="R441" t="s">
        <v>837</v>
      </c>
      <c r="S441" t="s">
        <v>839</v>
      </c>
      <c r="T441" t="s">
        <v>540</v>
      </c>
      <c r="U441" t="s">
        <v>591</v>
      </c>
    </row>
    <row r="442" spans="2:21" x14ac:dyDescent="0.25">
      <c r="B442" t="s">
        <v>206</v>
      </c>
      <c r="C442" t="s">
        <v>469</v>
      </c>
      <c r="D442" t="str">
        <f>IF(_xlfn.XLOOKUP(C442, ABZ!A:A, ABZ!B:B, "", 0) = 0, "", _xlfn.XLOOKUP(C442, ABZ!A:A, ABZ!B:B, "", 0))</f>
        <v>VTR-CS-CM-Retail</v>
      </c>
      <c r="E442" t="s">
        <v>834</v>
      </c>
      <c r="F442" t="s">
        <v>527</v>
      </c>
      <c r="G442">
        <v>537</v>
      </c>
      <c r="I442">
        <f t="shared" si="18"/>
        <v>0</v>
      </c>
      <c r="L442" s="9">
        <v>46066</v>
      </c>
      <c r="M442" s="9">
        <v>46072</v>
      </c>
      <c r="N442" s="18">
        <f t="shared" ca="1" si="19"/>
        <v>6</v>
      </c>
      <c r="O442" s="9">
        <v>46072</v>
      </c>
      <c r="P442" s="9" t="str">
        <f t="shared" si="20"/>
        <v>✅ Ja</v>
      </c>
      <c r="Q442" t="s">
        <v>849</v>
      </c>
      <c r="R442" t="s">
        <v>841</v>
      </c>
      <c r="S442" t="s">
        <v>839</v>
      </c>
      <c r="T442" t="s">
        <v>540</v>
      </c>
      <c r="U442" t="s">
        <v>591</v>
      </c>
    </row>
    <row r="443" spans="2:21" x14ac:dyDescent="0.25">
      <c r="B443" t="s">
        <v>206</v>
      </c>
      <c r="C443" t="s">
        <v>469</v>
      </c>
      <c r="D443" t="str">
        <f>IF(_xlfn.XLOOKUP(C443, ABZ!A:A, ABZ!B:B, "", 0) = 0, "", _xlfn.XLOOKUP(C443, ABZ!A:A, ABZ!B:B, "", 0))</f>
        <v>VTR-CS-CM-Retail</v>
      </c>
      <c r="E443" t="s">
        <v>834</v>
      </c>
      <c r="F443" t="s">
        <v>527</v>
      </c>
      <c r="G443">
        <v>537</v>
      </c>
      <c r="I443">
        <f t="shared" si="18"/>
        <v>0</v>
      </c>
      <c r="L443" s="9">
        <v>46066</v>
      </c>
      <c r="M443" s="9">
        <v>46072</v>
      </c>
      <c r="N443" s="18">
        <f t="shared" ca="1" si="19"/>
        <v>6</v>
      </c>
      <c r="O443" s="9">
        <v>46072</v>
      </c>
      <c r="P443" s="9" t="str">
        <f t="shared" si="20"/>
        <v>✅ Ja</v>
      </c>
      <c r="Q443" t="s">
        <v>836</v>
      </c>
      <c r="S443" t="s">
        <v>839</v>
      </c>
      <c r="T443" t="s">
        <v>540</v>
      </c>
      <c r="U443" t="s">
        <v>591</v>
      </c>
    </row>
    <row r="444" spans="2:21" x14ac:dyDescent="0.25">
      <c r="B444" t="s">
        <v>206</v>
      </c>
      <c r="C444" t="s">
        <v>469</v>
      </c>
      <c r="D444" t="str">
        <f>IF(_xlfn.XLOOKUP(C444, ABZ!A:A, ABZ!B:B, "", 0) = 0, "", _xlfn.XLOOKUP(C444, ABZ!A:A, ABZ!B:B, "", 0))</f>
        <v>VTR-CS-CM-Retail</v>
      </c>
      <c r="E444" t="s">
        <v>834</v>
      </c>
      <c r="F444" t="s">
        <v>531</v>
      </c>
      <c r="G444">
        <v>537</v>
      </c>
      <c r="I444">
        <f t="shared" si="18"/>
        <v>0</v>
      </c>
      <c r="L444" s="9">
        <v>46066</v>
      </c>
      <c r="M444" s="9">
        <v>46072</v>
      </c>
      <c r="N444" s="18">
        <f t="shared" ca="1" si="19"/>
        <v>6</v>
      </c>
      <c r="O444" s="9">
        <v>46072</v>
      </c>
      <c r="P444" s="9" t="str">
        <f t="shared" si="20"/>
        <v>✅ Ja</v>
      </c>
      <c r="Q444" t="s">
        <v>843</v>
      </c>
      <c r="S444" t="s">
        <v>839</v>
      </c>
      <c r="T444" t="s">
        <v>540</v>
      </c>
      <c r="U444" t="s">
        <v>591</v>
      </c>
    </row>
    <row r="445" spans="2:21" x14ac:dyDescent="0.25">
      <c r="B445" t="s">
        <v>206</v>
      </c>
      <c r="C445" t="s">
        <v>469</v>
      </c>
      <c r="D445" t="str">
        <f>IF(_xlfn.XLOOKUP(C445, ABZ!A:A, ABZ!B:B, "", 0) = 0, "", _xlfn.XLOOKUP(C445, ABZ!A:A, ABZ!B:B, "", 0))</f>
        <v>VTR-CS-CM-Retail</v>
      </c>
      <c r="E445" t="s">
        <v>834</v>
      </c>
      <c r="F445" t="s">
        <v>530</v>
      </c>
      <c r="G445">
        <v>537</v>
      </c>
      <c r="I445">
        <f t="shared" si="18"/>
        <v>0</v>
      </c>
      <c r="L445" s="9">
        <v>46066</v>
      </c>
      <c r="M445" s="9">
        <v>46072</v>
      </c>
      <c r="N445" s="18">
        <f t="shared" ca="1" si="19"/>
        <v>6</v>
      </c>
      <c r="O445" s="9">
        <v>46072</v>
      </c>
      <c r="P445" s="9" t="str">
        <f t="shared" si="20"/>
        <v>✅ Ja</v>
      </c>
      <c r="Q445" t="s">
        <v>844</v>
      </c>
      <c r="R445" t="s">
        <v>839</v>
      </c>
      <c r="S445" t="s">
        <v>839</v>
      </c>
      <c r="T445" t="s">
        <v>540</v>
      </c>
      <c r="U445" t="s">
        <v>591</v>
      </c>
    </row>
    <row r="446" spans="2:21" x14ac:dyDescent="0.25">
      <c r="B446" t="s">
        <v>206</v>
      </c>
      <c r="C446" t="s">
        <v>469</v>
      </c>
      <c r="D446" t="str">
        <f>IF(_xlfn.XLOOKUP(C446, ABZ!A:A, ABZ!B:B, "", 0) = 0, "", _xlfn.XLOOKUP(C446, ABZ!A:A, ABZ!B:B, "", 0))</f>
        <v>VTR-CS-CM-Retail</v>
      </c>
      <c r="E446" t="s">
        <v>834</v>
      </c>
      <c r="F446" t="s">
        <v>535</v>
      </c>
      <c r="G446">
        <v>537</v>
      </c>
      <c r="I446">
        <f t="shared" si="18"/>
        <v>0</v>
      </c>
      <c r="L446" s="9">
        <v>46066</v>
      </c>
      <c r="M446" s="9">
        <v>46072</v>
      </c>
      <c r="N446" s="18">
        <f t="shared" ca="1" si="19"/>
        <v>6</v>
      </c>
      <c r="O446" s="9">
        <v>46072</v>
      </c>
      <c r="P446" s="9" t="str">
        <f t="shared" si="20"/>
        <v>✅ Ja</v>
      </c>
      <c r="Q446" t="s">
        <v>842</v>
      </c>
      <c r="S446" t="s">
        <v>839</v>
      </c>
      <c r="T446" t="s">
        <v>540</v>
      </c>
      <c r="U446" t="s">
        <v>591</v>
      </c>
    </row>
    <row r="447" spans="2:21" x14ac:dyDescent="0.25">
      <c r="B447" t="s">
        <v>207</v>
      </c>
      <c r="C447" t="s">
        <v>501</v>
      </c>
      <c r="D447" t="str">
        <f>IF(_xlfn.XLOOKUP(C447, ABZ!A:A, ABZ!B:B, "", 0) = 0, "", _xlfn.XLOOKUP(C447, ABZ!A:A, ABZ!B:B, "", 0))</f>
        <v>SUP-TCO-KnowledgeManagement</v>
      </c>
      <c r="E447" t="s">
        <v>834</v>
      </c>
      <c r="F447" t="s">
        <v>529</v>
      </c>
      <c r="I447">
        <f t="shared" si="18"/>
        <v>0</v>
      </c>
      <c r="L447" s="9">
        <v>46066</v>
      </c>
      <c r="M447" s="9">
        <v>46069</v>
      </c>
      <c r="N447" s="18">
        <f t="shared" ca="1" si="19"/>
        <v>3</v>
      </c>
      <c r="O447" s="9">
        <v>46069</v>
      </c>
      <c r="P447" s="9" t="str">
        <f t="shared" si="20"/>
        <v>✅ Ja</v>
      </c>
      <c r="Q447" t="s">
        <v>846</v>
      </c>
      <c r="S447" t="s">
        <v>840</v>
      </c>
      <c r="T447" t="s">
        <v>540</v>
      </c>
      <c r="U447" t="s">
        <v>621</v>
      </c>
    </row>
    <row r="448" spans="2:21" x14ac:dyDescent="0.25">
      <c r="B448" t="s">
        <v>207</v>
      </c>
      <c r="C448" t="s">
        <v>501</v>
      </c>
      <c r="D448" t="str">
        <f>IF(_xlfn.XLOOKUP(C448, ABZ!A:A, ABZ!B:B, "", 0) = 0, "", _xlfn.XLOOKUP(C448, ABZ!A:A, ABZ!B:B, "", 0))</f>
        <v>SUP-TCO-KnowledgeManagement</v>
      </c>
      <c r="E448" t="s">
        <v>834</v>
      </c>
      <c r="F448" t="s">
        <v>528</v>
      </c>
      <c r="I448">
        <f t="shared" si="18"/>
        <v>0</v>
      </c>
      <c r="L448" s="9">
        <v>46066</v>
      </c>
      <c r="M448" s="9">
        <v>46069</v>
      </c>
      <c r="N448" s="18">
        <f t="shared" ca="1" si="19"/>
        <v>3</v>
      </c>
      <c r="O448" s="9">
        <v>46069</v>
      </c>
      <c r="P448" s="9" t="str">
        <f t="shared" si="20"/>
        <v>✅ Ja</v>
      </c>
      <c r="Q448" t="s">
        <v>841</v>
      </c>
      <c r="S448" t="s">
        <v>840</v>
      </c>
      <c r="T448" t="s">
        <v>540</v>
      </c>
      <c r="U448" t="s">
        <v>621</v>
      </c>
    </row>
    <row r="449" spans="2:21" x14ac:dyDescent="0.25">
      <c r="B449" t="s">
        <v>207</v>
      </c>
      <c r="C449" t="s">
        <v>501</v>
      </c>
      <c r="D449" t="str">
        <f>IF(_xlfn.XLOOKUP(C449, ABZ!A:A, ABZ!B:B, "", 0) = 0, "", _xlfn.XLOOKUP(C449, ABZ!A:A, ABZ!B:B, "", 0))</f>
        <v>SUP-TCO-KnowledgeManagement</v>
      </c>
      <c r="E449" t="s">
        <v>834</v>
      </c>
      <c r="F449" t="s">
        <v>530</v>
      </c>
      <c r="I449">
        <f t="shared" si="18"/>
        <v>0</v>
      </c>
      <c r="L449" s="9">
        <v>46066</v>
      </c>
      <c r="M449" s="9">
        <v>46069</v>
      </c>
      <c r="N449" s="18">
        <f t="shared" ca="1" si="19"/>
        <v>3</v>
      </c>
      <c r="O449" s="9">
        <v>46069</v>
      </c>
      <c r="P449" s="9" t="str">
        <f t="shared" si="20"/>
        <v>✅ Ja</v>
      </c>
      <c r="Q449" t="s">
        <v>844</v>
      </c>
      <c r="S449" t="s">
        <v>840</v>
      </c>
      <c r="T449" t="s">
        <v>540</v>
      </c>
      <c r="U449" t="s">
        <v>621</v>
      </c>
    </row>
    <row r="450" spans="2:21" x14ac:dyDescent="0.25">
      <c r="B450" t="s">
        <v>207</v>
      </c>
      <c r="C450" t="s">
        <v>501</v>
      </c>
      <c r="D450" t="str">
        <f>IF(_xlfn.XLOOKUP(C450, ABZ!A:A, ABZ!B:B, "", 0) = 0, "", _xlfn.XLOOKUP(C450, ABZ!A:A, ABZ!B:B, "", 0))</f>
        <v>SUP-TCO-KnowledgeManagement</v>
      </c>
      <c r="E450" t="s">
        <v>834</v>
      </c>
      <c r="F450" t="s">
        <v>527</v>
      </c>
      <c r="I450">
        <f t="shared" si="18"/>
        <v>0</v>
      </c>
      <c r="L450" s="9">
        <v>46066</v>
      </c>
      <c r="M450" s="9">
        <v>46069</v>
      </c>
      <c r="N450" s="18">
        <f t="shared" ca="1" si="19"/>
        <v>3</v>
      </c>
      <c r="O450" s="9">
        <v>46069</v>
      </c>
      <c r="P450" s="9" t="str">
        <f t="shared" si="20"/>
        <v>✅ Ja</v>
      </c>
      <c r="Q450" t="s">
        <v>836</v>
      </c>
      <c r="S450" t="s">
        <v>840</v>
      </c>
      <c r="T450" t="s">
        <v>540</v>
      </c>
      <c r="U450" t="s">
        <v>621</v>
      </c>
    </row>
    <row r="451" spans="2:21" x14ac:dyDescent="0.25">
      <c r="B451" t="s">
        <v>207</v>
      </c>
      <c r="C451" t="s">
        <v>501</v>
      </c>
      <c r="D451" t="str">
        <f>IF(_xlfn.XLOOKUP(C451, ABZ!A:A, ABZ!B:B, "", 0) = 0, "", _xlfn.XLOOKUP(C451, ABZ!A:A, ABZ!B:B, "", 0))</f>
        <v>SUP-TCO-KnowledgeManagement</v>
      </c>
      <c r="E451" t="s">
        <v>834</v>
      </c>
      <c r="F451" t="s">
        <v>531</v>
      </c>
      <c r="I451">
        <f t="shared" ref="I451:I514" si="21">IF(AND(O451&lt;&gt;"",L451&lt;&gt;""),IF((O451-L451)&lt;=2,1,0),0)</f>
        <v>0</v>
      </c>
      <c r="L451" s="9">
        <v>46066</v>
      </c>
      <c r="M451" s="9">
        <v>46069</v>
      </c>
      <c r="N451" s="18">
        <f t="shared" ref="N451:N514" ca="1" si="22">IF(M451&lt;&gt;"",M451-L451,TODAY()-L451)</f>
        <v>3</v>
      </c>
      <c r="O451" s="9">
        <v>46069</v>
      </c>
      <c r="P451" s="9" t="str">
        <f t="shared" ref="P451:P514" si="23">IF(M451="","⏳ Offen",IF(M451&lt;=O451,"✅ Ja","❌ Nein"))</f>
        <v>✅ Ja</v>
      </c>
      <c r="Q451" t="s">
        <v>840</v>
      </c>
      <c r="S451" t="s">
        <v>840</v>
      </c>
      <c r="T451" t="s">
        <v>540</v>
      </c>
      <c r="U451" t="s">
        <v>621</v>
      </c>
    </row>
    <row r="452" spans="2:21" x14ac:dyDescent="0.25">
      <c r="B452" t="s">
        <v>207</v>
      </c>
      <c r="C452" t="s">
        <v>501</v>
      </c>
      <c r="D452" t="str">
        <f>IF(_xlfn.XLOOKUP(C452, ABZ!A:A, ABZ!B:B, "", 0) = 0, "", _xlfn.XLOOKUP(C452, ABZ!A:A, ABZ!B:B, "", 0))</f>
        <v>SUP-TCO-KnowledgeManagement</v>
      </c>
      <c r="E452" t="s">
        <v>834</v>
      </c>
      <c r="F452" t="s">
        <v>527</v>
      </c>
      <c r="I452">
        <f t="shared" si="21"/>
        <v>0</v>
      </c>
      <c r="L452" s="9">
        <v>46066</v>
      </c>
      <c r="M452" s="9"/>
      <c r="N452" s="18">
        <f t="shared" ca="1" si="22"/>
        <v>98</v>
      </c>
      <c r="O452" s="9">
        <v>46098</v>
      </c>
      <c r="P452" s="9" t="str">
        <f t="shared" si="23"/>
        <v>⏳ Offen</v>
      </c>
      <c r="Q452" t="s">
        <v>839</v>
      </c>
      <c r="S452" t="s">
        <v>840</v>
      </c>
      <c r="T452" t="s">
        <v>540</v>
      </c>
      <c r="U452" t="s">
        <v>621</v>
      </c>
    </row>
    <row r="453" spans="2:21" x14ac:dyDescent="0.25">
      <c r="B453" t="s">
        <v>207</v>
      </c>
      <c r="C453" t="s">
        <v>501</v>
      </c>
      <c r="D453" t="str">
        <f>IF(_xlfn.XLOOKUP(C453, ABZ!A:A, ABZ!B:B, "", 0) = 0, "", _xlfn.XLOOKUP(C453, ABZ!A:A, ABZ!B:B, "", 0))</f>
        <v>SUP-TCO-KnowledgeManagement</v>
      </c>
      <c r="E453" t="s">
        <v>834</v>
      </c>
      <c r="F453" t="s">
        <v>531</v>
      </c>
      <c r="I453">
        <f t="shared" si="21"/>
        <v>0</v>
      </c>
      <c r="L453" s="9">
        <v>46066</v>
      </c>
      <c r="M453" s="9"/>
      <c r="N453" s="18">
        <f t="shared" ca="1" si="22"/>
        <v>98</v>
      </c>
      <c r="O453" s="9">
        <v>46098</v>
      </c>
      <c r="P453" s="9" t="str">
        <f t="shared" si="23"/>
        <v>⏳ Offen</v>
      </c>
      <c r="Q453" t="s">
        <v>840</v>
      </c>
      <c r="S453" t="s">
        <v>840</v>
      </c>
      <c r="T453" t="s">
        <v>540</v>
      </c>
      <c r="U453" t="s">
        <v>621</v>
      </c>
    </row>
    <row r="454" spans="2:21" x14ac:dyDescent="0.25">
      <c r="B454" t="s">
        <v>207</v>
      </c>
      <c r="C454" t="s">
        <v>501</v>
      </c>
      <c r="D454" t="str">
        <f>IF(_xlfn.XLOOKUP(C454, ABZ!A:A, ABZ!B:B, "", 0) = 0, "", _xlfn.XLOOKUP(C454, ABZ!A:A, ABZ!B:B, "", 0))</f>
        <v>SUP-TCO-KnowledgeManagement</v>
      </c>
      <c r="E454" t="s">
        <v>834</v>
      </c>
      <c r="F454" t="s">
        <v>527</v>
      </c>
      <c r="I454">
        <f t="shared" si="21"/>
        <v>0</v>
      </c>
      <c r="L454" s="9">
        <v>46066</v>
      </c>
      <c r="M454" s="9"/>
      <c r="N454" s="18">
        <f t="shared" ca="1" si="22"/>
        <v>98</v>
      </c>
      <c r="O454" s="9">
        <v>46098</v>
      </c>
      <c r="P454" s="9" t="str">
        <f t="shared" si="23"/>
        <v>⏳ Offen</v>
      </c>
      <c r="Q454" t="s">
        <v>839</v>
      </c>
      <c r="S454" t="s">
        <v>840</v>
      </c>
      <c r="T454" t="s">
        <v>540</v>
      </c>
      <c r="U454" t="s">
        <v>621</v>
      </c>
    </row>
    <row r="455" spans="2:21" x14ac:dyDescent="0.25">
      <c r="B455" t="s">
        <v>207</v>
      </c>
      <c r="C455" t="s">
        <v>501</v>
      </c>
      <c r="D455" t="str">
        <f>IF(_xlfn.XLOOKUP(C455, ABZ!A:A, ABZ!B:B, "", 0) = 0, "", _xlfn.XLOOKUP(C455, ABZ!A:A, ABZ!B:B, "", 0))</f>
        <v>SUP-TCO-KnowledgeManagement</v>
      </c>
      <c r="E455" t="s">
        <v>834</v>
      </c>
      <c r="F455" t="s">
        <v>531</v>
      </c>
      <c r="I455">
        <f t="shared" si="21"/>
        <v>0</v>
      </c>
      <c r="L455" s="9">
        <v>46066</v>
      </c>
      <c r="M455" s="9"/>
      <c r="N455" s="18">
        <f t="shared" ca="1" si="22"/>
        <v>98</v>
      </c>
      <c r="O455" s="9">
        <v>46098</v>
      </c>
      <c r="P455" s="9" t="str">
        <f t="shared" si="23"/>
        <v>⏳ Offen</v>
      </c>
      <c r="Q455" t="s">
        <v>840</v>
      </c>
      <c r="S455" t="s">
        <v>840</v>
      </c>
      <c r="T455" t="s">
        <v>540</v>
      </c>
      <c r="U455" t="s">
        <v>621</v>
      </c>
    </row>
    <row r="456" spans="2:21" x14ac:dyDescent="0.25">
      <c r="B456" t="s">
        <v>208</v>
      </c>
      <c r="C456" t="s">
        <v>485</v>
      </c>
      <c r="D456" t="str">
        <f>IF(_xlfn.XLOOKUP(C456, ABZ!A:A, ABZ!B:B, "", 0) = 0, "", _xlfn.XLOOKUP(C456, ABZ!A:A, ABZ!B:B, "", 0))</f>
        <v>VTR-CS-SER-PartnerCommunication</v>
      </c>
      <c r="E456" t="s">
        <v>835</v>
      </c>
      <c r="F456" t="s">
        <v>532</v>
      </c>
      <c r="H456">
        <v>1</v>
      </c>
      <c r="I456">
        <f t="shared" si="21"/>
        <v>1</v>
      </c>
      <c r="L456" s="9">
        <v>46069</v>
      </c>
      <c r="M456" s="9">
        <v>46071</v>
      </c>
      <c r="N456" s="18">
        <f t="shared" ca="1" si="22"/>
        <v>2</v>
      </c>
      <c r="O456" s="9">
        <v>46071</v>
      </c>
      <c r="P456" s="9" t="str">
        <f t="shared" si="23"/>
        <v>✅ Ja</v>
      </c>
      <c r="Q456" t="s">
        <v>838</v>
      </c>
      <c r="S456" t="s">
        <v>838</v>
      </c>
      <c r="T456" t="s">
        <v>540</v>
      </c>
    </row>
    <row r="457" spans="2:21" x14ac:dyDescent="0.25">
      <c r="B457" t="s">
        <v>209</v>
      </c>
      <c r="C457" t="s">
        <v>462</v>
      </c>
      <c r="D457" t="str">
        <f>IF(_xlfn.XLOOKUP(C457, ABZ!A:A, ABZ!B:B, "", 0) = 0, "", _xlfn.XLOOKUP(C457, ABZ!A:A, ABZ!B:B, "", 0))</f>
        <v>SUP-TCO-KnowledgeManagement</v>
      </c>
      <c r="E457" t="s">
        <v>834</v>
      </c>
      <c r="F457" t="s">
        <v>529</v>
      </c>
      <c r="I457">
        <f t="shared" si="21"/>
        <v>0</v>
      </c>
      <c r="L457" s="9">
        <v>46066</v>
      </c>
      <c r="M457" s="9">
        <v>46078</v>
      </c>
      <c r="N457" s="18">
        <f t="shared" ca="1" si="22"/>
        <v>12</v>
      </c>
      <c r="O457" s="9">
        <v>46080</v>
      </c>
      <c r="P457" s="9" t="str">
        <f t="shared" si="23"/>
        <v>✅ Ja</v>
      </c>
      <c r="Q457" t="s">
        <v>837</v>
      </c>
      <c r="S457" t="s">
        <v>840</v>
      </c>
      <c r="T457" t="s">
        <v>540</v>
      </c>
      <c r="U457" t="s">
        <v>622</v>
      </c>
    </row>
    <row r="458" spans="2:21" x14ac:dyDescent="0.25">
      <c r="B458" t="s">
        <v>210</v>
      </c>
      <c r="C458" t="s">
        <v>462</v>
      </c>
      <c r="D458" t="str">
        <f>IF(_xlfn.XLOOKUP(C458, ABZ!A:A, ABZ!B:B, "", 0) = 0, "", _xlfn.XLOOKUP(C458, ABZ!A:A, ABZ!B:B, "", 0))</f>
        <v>SUP-TCO-KnowledgeManagement</v>
      </c>
      <c r="E458" t="s">
        <v>834</v>
      </c>
      <c r="F458" t="s">
        <v>535</v>
      </c>
      <c r="I458">
        <f t="shared" si="21"/>
        <v>0</v>
      </c>
      <c r="L458" s="9">
        <v>46066</v>
      </c>
      <c r="M458" s="9">
        <v>46078</v>
      </c>
      <c r="N458" s="18">
        <f t="shared" ca="1" si="22"/>
        <v>12</v>
      </c>
      <c r="O458" s="9">
        <v>46080</v>
      </c>
      <c r="P458" s="9" t="str">
        <f t="shared" si="23"/>
        <v>✅ Ja</v>
      </c>
      <c r="Q458" t="s">
        <v>842</v>
      </c>
      <c r="S458" t="s">
        <v>840</v>
      </c>
      <c r="T458" t="s">
        <v>540</v>
      </c>
      <c r="U458" t="s">
        <v>622</v>
      </c>
    </row>
    <row r="459" spans="2:21" x14ac:dyDescent="0.25">
      <c r="B459" t="s">
        <v>211</v>
      </c>
      <c r="C459" t="s">
        <v>483</v>
      </c>
      <c r="D459" t="str">
        <f>IF(_xlfn.XLOOKUP(C459, ABZ!A:A, ABZ!B:B, "", 0) = 0, "", _xlfn.XLOOKUP(C459, ABZ!A:A, ABZ!B:B, "", 0))</f>
        <v>SUP-TCO-KnowledgeManagement</v>
      </c>
      <c r="E459" t="s">
        <v>834</v>
      </c>
      <c r="F459" t="s">
        <v>538</v>
      </c>
      <c r="I459">
        <f t="shared" si="21"/>
        <v>0</v>
      </c>
      <c r="J459" t="s">
        <v>875</v>
      </c>
      <c r="K459" t="s">
        <v>879</v>
      </c>
      <c r="L459" s="9">
        <v>46066</v>
      </c>
      <c r="M459" s="9">
        <v>46078</v>
      </c>
      <c r="N459" s="18">
        <f t="shared" ca="1" si="22"/>
        <v>12</v>
      </c>
      <c r="O459" s="9">
        <v>46080</v>
      </c>
      <c r="P459" s="9" t="str">
        <f t="shared" si="23"/>
        <v>✅ Ja</v>
      </c>
      <c r="Q459" t="s">
        <v>842</v>
      </c>
      <c r="S459" t="s">
        <v>840</v>
      </c>
      <c r="T459" t="s">
        <v>540</v>
      </c>
      <c r="U459" t="s">
        <v>622</v>
      </c>
    </row>
    <row r="460" spans="2:21" x14ac:dyDescent="0.25">
      <c r="B460" t="s">
        <v>212</v>
      </c>
      <c r="C460" t="s">
        <v>462</v>
      </c>
      <c r="D460" t="str">
        <f>IF(_xlfn.XLOOKUP(C460, ABZ!A:A, ABZ!B:B, "", 0) = 0, "", _xlfn.XLOOKUP(C460, ABZ!A:A, ABZ!B:B, "", 0))</f>
        <v>SUP-TCO-KnowledgeManagement</v>
      </c>
      <c r="E460" t="s">
        <v>834</v>
      </c>
      <c r="F460" t="s">
        <v>527</v>
      </c>
      <c r="I460">
        <f t="shared" si="21"/>
        <v>0</v>
      </c>
      <c r="L460" s="9">
        <v>46066</v>
      </c>
      <c r="M460" s="9">
        <v>46078</v>
      </c>
      <c r="N460" s="18">
        <f t="shared" ca="1" si="22"/>
        <v>12</v>
      </c>
      <c r="O460" s="9">
        <v>46080</v>
      </c>
      <c r="P460" s="9" t="str">
        <f t="shared" si="23"/>
        <v>✅ Ja</v>
      </c>
      <c r="Q460" t="s">
        <v>836</v>
      </c>
      <c r="S460" t="s">
        <v>840</v>
      </c>
      <c r="T460" t="s">
        <v>540</v>
      </c>
      <c r="U460" t="s">
        <v>622</v>
      </c>
    </row>
    <row r="461" spans="2:21" x14ac:dyDescent="0.25">
      <c r="B461" t="s">
        <v>213</v>
      </c>
      <c r="C461" t="s">
        <v>462</v>
      </c>
      <c r="D461" t="str">
        <f>IF(_xlfn.XLOOKUP(C461, ABZ!A:A, ABZ!B:B, "", 0) = 0, "", _xlfn.XLOOKUP(C461, ABZ!A:A, ABZ!B:B, "", 0))</f>
        <v>SUP-TCO-KnowledgeManagement</v>
      </c>
      <c r="E461" t="s">
        <v>834</v>
      </c>
      <c r="F461" t="s">
        <v>528</v>
      </c>
      <c r="I461">
        <f t="shared" si="21"/>
        <v>0</v>
      </c>
      <c r="L461" s="9">
        <v>46066</v>
      </c>
      <c r="M461" s="9">
        <v>46080</v>
      </c>
      <c r="N461" s="18">
        <f t="shared" ca="1" si="22"/>
        <v>14</v>
      </c>
      <c r="O461" s="9">
        <v>46080</v>
      </c>
      <c r="P461" s="9" t="str">
        <f t="shared" si="23"/>
        <v>✅ Ja</v>
      </c>
      <c r="Q461" t="s">
        <v>841</v>
      </c>
      <c r="S461" t="s">
        <v>840</v>
      </c>
      <c r="T461" t="s">
        <v>540</v>
      </c>
      <c r="U461" t="s">
        <v>622</v>
      </c>
    </row>
    <row r="462" spans="2:21" x14ac:dyDescent="0.25">
      <c r="B462" t="s">
        <v>214</v>
      </c>
      <c r="C462" t="s">
        <v>483</v>
      </c>
      <c r="D462" t="str">
        <f>IF(_xlfn.XLOOKUP(C462, ABZ!A:A, ABZ!B:B, "", 0) = 0, "", _xlfn.XLOOKUP(C462, ABZ!A:A, ABZ!B:B, "", 0))</f>
        <v>SUP-TCO-KnowledgeManagement</v>
      </c>
      <c r="E462" t="s">
        <v>834</v>
      </c>
      <c r="F462" t="s">
        <v>530</v>
      </c>
      <c r="I462">
        <f t="shared" si="21"/>
        <v>0</v>
      </c>
      <c r="L462" s="9">
        <v>46066</v>
      </c>
      <c r="M462" s="9">
        <v>46078</v>
      </c>
      <c r="N462" s="18">
        <f t="shared" ca="1" si="22"/>
        <v>12</v>
      </c>
      <c r="O462" s="9">
        <v>46080</v>
      </c>
      <c r="P462" s="9" t="str">
        <f t="shared" si="23"/>
        <v>✅ Ja</v>
      </c>
      <c r="Q462" t="s">
        <v>844</v>
      </c>
      <c r="S462" t="s">
        <v>840</v>
      </c>
      <c r="T462" t="s">
        <v>540</v>
      </c>
      <c r="U462" t="s">
        <v>622</v>
      </c>
    </row>
    <row r="463" spans="2:21" x14ac:dyDescent="0.25">
      <c r="B463" t="s">
        <v>215</v>
      </c>
      <c r="C463" t="s">
        <v>462</v>
      </c>
      <c r="D463" t="str">
        <f>IF(_xlfn.XLOOKUP(C463, ABZ!A:A, ABZ!B:B, "", 0) = 0, "", _xlfn.XLOOKUP(C463, ABZ!A:A, ABZ!B:B, "", 0))</f>
        <v>SUP-TCO-KnowledgeManagement</v>
      </c>
      <c r="E463" t="s">
        <v>834</v>
      </c>
      <c r="F463" t="s">
        <v>531</v>
      </c>
      <c r="I463">
        <f t="shared" si="21"/>
        <v>0</v>
      </c>
      <c r="L463" s="9">
        <v>46066</v>
      </c>
      <c r="M463" s="9">
        <v>46078</v>
      </c>
      <c r="N463" s="18">
        <f t="shared" ca="1" si="22"/>
        <v>12</v>
      </c>
      <c r="O463" s="9">
        <v>46080</v>
      </c>
      <c r="P463" s="9" t="str">
        <f t="shared" si="23"/>
        <v>✅ Ja</v>
      </c>
      <c r="Q463" t="s">
        <v>840</v>
      </c>
      <c r="S463" t="s">
        <v>840</v>
      </c>
      <c r="T463" t="s">
        <v>540</v>
      </c>
      <c r="U463" t="s">
        <v>622</v>
      </c>
    </row>
    <row r="464" spans="2:21" x14ac:dyDescent="0.25">
      <c r="B464" t="s">
        <v>216</v>
      </c>
      <c r="C464" t="s">
        <v>502</v>
      </c>
      <c r="D464" t="str">
        <f>IF(_xlfn.XLOOKUP(C464, ABZ!A:A, ABZ!B:B, "", 0) = 0, "", _xlfn.XLOOKUP(C464, ABZ!A:A, ABZ!B:B, "", 0))</f>
        <v>VTR-CS-CM-Retail</v>
      </c>
      <c r="E464" t="s">
        <v>835</v>
      </c>
      <c r="F464" t="s">
        <v>532</v>
      </c>
      <c r="H464">
        <v>1</v>
      </c>
      <c r="I464">
        <f t="shared" si="21"/>
        <v>0</v>
      </c>
      <c r="L464" s="9">
        <v>45701</v>
      </c>
      <c r="M464" s="9">
        <v>46069</v>
      </c>
      <c r="N464" s="18">
        <f t="shared" ca="1" si="22"/>
        <v>368</v>
      </c>
      <c r="O464" s="9">
        <v>46073</v>
      </c>
      <c r="P464" s="9" t="str">
        <f t="shared" si="23"/>
        <v>✅ Ja</v>
      </c>
      <c r="Q464" t="s">
        <v>838</v>
      </c>
      <c r="S464" t="s">
        <v>839</v>
      </c>
      <c r="T464" t="s">
        <v>540</v>
      </c>
      <c r="U464" t="s">
        <v>591</v>
      </c>
    </row>
    <row r="465" spans="2:21" x14ac:dyDescent="0.25">
      <c r="B465" t="s">
        <v>216</v>
      </c>
      <c r="C465" t="s">
        <v>502</v>
      </c>
      <c r="D465" t="str">
        <f>IF(_xlfn.XLOOKUP(C465, ABZ!A:A, ABZ!B:B, "", 0) = 0, "", _xlfn.XLOOKUP(C465, ABZ!A:A, ABZ!B:B, "", 0))</f>
        <v>VTR-CS-CM-Retail</v>
      </c>
      <c r="E465" t="s">
        <v>834</v>
      </c>
      <c r="F465" t="s">
        <v>535</v>
      </c>
      <c r="I465">
        <f t="shared" si="21"/>
        <v>0</v>
      </c>
      <c r="L465" s="9">
        <v>45701</v>
      </c>
      <c r="M465" s="9">
        <v>46069</v>
      </c>
      <c r="N465" s="18">
        <f t="shared" ca="1" si="22"/>
        <v>368</v>
      </c>
      <c r="O465" s="9">
        <v>46073</v>
      </c>
      <c r="P465" s="9" t="str">
        <f t="shared" si="23"/>
        <v>✅ Ja</v>
      </c>
      <c r="Q465" t="s">
        <v>842</v>
      </c>
      <c r="S465" t="s">
        <v>839</v>
      </c>
      <c r="T465" t="s">
        <v>540</v>
      </c>
      <c r="U465" t="s">
        <v>591</v>
      </c>
    </row>
    <row r="466" spans="2:21" x14ac:dyDescent="0.25">
      <c r="B466" t="s">
        <v>217</v>
      </c>
      <c r="C466" t="s">
        <v>502</v>
      </c>
      <c r="D466" t="str">
        <f>IF(_xlfn.XLOOKUP(C466, ABZ!A:A, ABZ!B:B, "", 0) = 0, "", _xlfn.XLOOKUP(C466, ABZ!A:A, ABZ!B:B, "", 0))</f>
        <v>VTR-CS-CM-Retail</v>
      </c>
      <c r="E466" t="s">
        <v>835</v>
      </c>
      <c r="F466" t="s">
        <v>532</v>
      </c>
      <c r="H466">
        <v>1</v>
      </c>
      <c r="I466">
        <f t="shared" si="21"/>
        <v>0</v>
      </c>
      <c r="L466" s="9">
        <v>45701</v>
      </c>
      <c r="M466" s="9">
        <v>46069</v>
      </c>
      <c r="N466" s="18">
        <f t="shared" ca="1" si="22"/>
        <v>368</v>
      </c>
      <c r="O466" s="9">
        <v>46073</v>
      </c>
      <c r="P466" s="9" t="str">
        <f t="shared" si="23"/>
        <v>✅ Ja</v>
      </c>
      <c r="Q466" t="s">
        <v>838</v>
      </c>
      <c r="S466" t="s">
        <v>839</v>
      </c>
      <c r="T466" t="s">
        <v>540</v>
      </c>
      <c r="U466" t="s">
        <v>591</v>
      </c>
    </row>
    <row r="467" spans="2:21" x14ac:dyDescent="0.25">
      <c r="B467" t="s">
        <v>217</v>
      </c>
      <c r="C467" t="s">
        <v>502</v>
      </c>
      <c r="D467" t="str">
        <f>IF(_xlfn.XLOOKUP(C467, ABZ!A:A, ABZ!B:B, "", 0) = 0, "", _xlfn.XLOOKUP(C467, ABZ!A:A, ABZ!B:B, "", 0))</f>
        <v>VTR-CS-CM-Retail</v>
      </c>
      <c r="E467" t="s">
        <v>834</v>
      </c>
      <c r="F467" t="s">
        <v>535</v>
      </c>
      <c r="I467">
        <f t="shared" si="21"/>
        <v>0</v>
      </c>
      <c r="L467" s="9">
        <v>45701</v>
      </c>
      <c r="M467" s="9">
        <v>46069</v>
      </c>
      <c r="N467" s="18">
        <f t="shared" ca="1" si="22"/>
        <v>368</v>
      </c>
      <c r="O467" s="9">
        <v>46073</v>
      </c>
      <c r="P467" s="9" t="str">
        <f t="shared" si="23"/>
        <v>✅ Ja</v>
      </c>
      <c r="Q467" t="s">
        <v>842</v>
      </c>
      <c r="S467" t="s">
        <v>839</v>
      </c>
      <c r="T467" t="s">
        <v>540</v>
      </c>
      <c r="U467" t="s">
        <v>591</v>
      </c>
    </row>
    <row r="468" spans="2:21" x14ac:dyDescent="0.25">
      <c r="B468" t="s">
        <v>218</v>
      </c>
      <c r="C468" t="s">
        <v>469</v>
      </c>
      <c r="D468" t="str">
        <f>IF(_xlfn.XLOOKUP(C468, ABZ!A:A, ABZ!B:B, "", 0) = 0, "", _xlfn.XLOOKUP(C468, ABZ!A:A, ABZ!B:B, "", 0))</f>
        <v>VTR-CS-CM-Retail</v>
      </c>
      <c r="E468" t="s">
        <v>835</v>
      </c>
      <c r="F468" t="s">
        <v>532</v>
      </c>
      <c r="H468">
        <v>1</v>
      </c>
      <c r="I468">
        <f t="shared" si="21"/>
        <v>0</v>
      </c>
      <c r="L468" s="9">
        <v>46069</v>
      </c>
      <c r="M468" s="9">
        <v>46070</v>
      </c>
      <c r="N468" s="18">
        <f t="shared" ca="1" si="22"/>
        <v>1</v>
      </c>
      <c r="O468" s="9">
        <v>46073</v>
      </c>
      <c r="P468" s="9" t="str">
        <f t="shared" si="23"/>
        <v>✅ Ja</v>
      </c>
      <c r="Q468" t="s">
        <v>838</v>
      </c>
      <c r="S468" t="s">
        <v>839</v>
      </c>
      <c r="T468" t="s">
        <v>540</v>
      </c>
      <c r="U468" t="s">
        <v>591</v>
      </c>
    </row>
    <row r="469" spans="2:21" x14ac:dyDescent="0.25">
      <c r="B469" t="s">
        <v>219</v>
      </c>
      <c r="C469" t="s">
        <v>469</v>
      </c>
      <c r="D469" t="str">
        <f>IF(_xlfn.XLOOKUP(C469, ABZ!A:A, ABZ!B:B, "", 0) = 0, "", _xlfn.XLOOKUP(C469, ABZ!A:A, ABZ!B:B, "", 0))</f>
        <v>VTR-CS-CM-Retail</v>
      </c>
      <c r="E469" t="s">
        <v>834</v>
      </c>
      <c r="F469" t="s">
        <v>529</v>
      </c>
      <c r="I469">
        <f t="shared" si="21"/>
        <v>0</v>
      </c>
      <c r="L469" s="9">
        <v>46069</v>
      </c>
      <c r="M469" s="9">
        <v>46071</v>
      </c>
      <c r="N469" s="18">
        <f t="shared" ca="1" si="22"/>
        <v>2</v>
      </c>
      <c r="O469" s="9">
        <v>46073</v>
      </c>
      <c r="P469" s="9" t="str">
        <f t="shared" si="23"/>
        <v>✅ Ja</v>
      </c>
      <c r="Q469" t="s">
        <v>845</v>
      </c>
      <c r="S469" t="s">
        <v>839</v>
      </c>
      <c r="T469" t="s">
        <v>540</v>
      </c>
      <c r="U469" t="s">
        <v>591</v>
      </c>
    </row>
    <row r="470" spans="2:21" x14ac:dyDescent="0.25">
      <c r="B470" t="s">
        <v>219</v>
      </c>
      <c r="C470" t="s">
        <v>469</v>
      </c>
      <c r="D470" t="str">
        <f>IF(_xlfn.XLOOKUP(C470, ABZ!A:A, ABZ!B:B, "", 0) = 0, "", _xlfn.XLOOKUP(C470, ABZ!A:A, ABZ!B:B, "", 0))</f>
        <v>VTR-CS-CM-Retail</v>
      </c>
      <c r="E470" t="s">
        <v>834</v>
      </c>
      <c r="F470" t="s">
        <v>527</v>
      </c>
      <c r="I470">
        <f t="shared" si="21"/>
        <v>0</v>
      </c>
      <c r="L470" s="9">
        <v>46069</v>
      </c>
      <c r="M470" s="9">
        <v>46072</v>
      </c>
      <c r="N470" s="18">
        <f t="shared" ca="1" si="22"/>
        <v>3</v>
      </c>
      <c r="O470" s="9">
        <v>46073</v>
      </c>
      <c r="P470" s="9" t="str">
        <f t="shared" si="23"/>
        <v>✅ Ja</v>
      </c>
      <c r="Q470" t="s">
        <v>849</v>
      </c>
      <c r="R470" t="s">
        <v>841</v>
      </c>
      <c r="S470" t="s">
        <v>839</v>
      </c>
      <c r="T470" t="s">
        <v>540</v>
      </c>
      <c r="U470" t="s">
        <v>591</v>
      </c>
    </row>
    <row r="471" spans="2:21" x14ac:dyDescent="0.25">
      <c r="B471" t="s">
        <v>219</v>
      </c>
      <c r="C471" t="s">
        <v>469</v>
      </c>
      <c r="D471" t="str">
        <f>IF(_xlfn.XLOOKUP(C471, ABZ!A:A, ABZ!B:B, "", 0) = 0, "", _xlfn.XLOOKUP(C471, ABZ!A:A, ABZ!B:B, "", 0))</f>
        <v>VTR-CS-CM-Retail</v>
      </c>
      <c r="E471" t="s">
        <v>834</v>
      </c>
      <c r="F471" t="s">
        <v>531</v>
      </c>
      <c r="I471">
        <f t="shared" si="21"/>
        <v>0</v>
      </c>
      <c r="L471" s="9">
        <v>46069</v>
      </c>
      <c r="M471" s="9">
        <v>46072</v>
      </c>
      <c r="N471" s="18">
        <f t="shared" ca="1" si="22"/>
        <v>3</v>
      </c>
      <c r="O471" s="9">
        <v>46073</v>
      </c>
      <c r="P471" s="9" t="str">
        <f t="shared" si="23"/>
        <v>✅ Ja</v>
      </c>
      <c r="Q471" t="s">
        <v>843</v>
      </c>
      <c r="S471" t="s">
        <v>839</v>
      </c>
      <c r="T471" t="s">
        <v>540</v>
      </c>
      <c r="U471" t="s">
        <v>591</v>
      </c>
    </row>
    <row r="472" spans="2:21" x14ac:dyDescent="0.25">
      <c r="B472" t="s">
        <v>218</v>
      </c>
      <c r="C472" t="s">
        <v>469</v>
      </c>
      <c r="D472" t="str">
        <f>IF(_xlfn.XLOOKUP(C472, ABZ!A:A, ABZ!B:B, "", 0) = 0, "", _xlfn.XLOOKUP(C472, ABZ!A:A, ABZ!B:B, "", 0))</f>
        <v>VTR-CS-CM-Retail</v>
      </c>
      <c r="E472" t="s">
        <v>834</v>
      </c>
      <c r="F472" t="s">
        <v>527</v>
      </c>
      <c r="I472">
        <f t="shared" si="21"/>
        <v>0</v>
      </c>
      <c r="L472" s="9">
        <v>46069</v>
      </c>
      <c r="M472" s="9">
        <v>46072</v>
      </c>
      <c r="N472" s="18">
        <f t="shared" ca="1" si="22"/>
        <v>3</v>
      </c>
      <c r="O472" s="9">
        <v>46073</v>
      </c>
      <c r="P472" s="9" t="str">
        <f t="shared" si="23"/>
        <v>✅ Ja</v>
      </c>
      <c r="Q472" t="s">
        <v>836</v>
      </c>
      <c r="S472" t="s">
        <v>839</v>
      </c>
      <c r="T472" t="s">
        <v>540</v>
      </c>
      <c r="U472" t="s">
        <v>591</v>
      </c>
    </row>
    <row r="473" spans="2:21" x14ac:dyDescent="0.25">
      <c r="B473" t="s">
        <v>220</v>
      </c>
      <c r="C473" t="s">
        <v>469</v>
      </c>
      <c r="D473" t="str">
        <f>IF(_xlfn.XLOOKUP(C473, ABZ!A:A, ABZ!B:B, "", 0) = 0, "", _xlfn.XLOOKUP(C473, ABZ!A:A, ABZ!B:B, "", 0))</f>
        <v>VTR-CS-CM-Retail</v>
      </c>
      <c r="E473" t="s">
        <v>835</v>
      </c>
      <c r="F473" t="s">
        <v>532</v>
      </c>
      <c r="H473">
        <v>1</v>
      </c>
      <c r="I473">
        <f t="shared" si="21"/>
        <v>0</v>
      </c>
      <c r="L473" s="9">
        <v>46069</v>
      </c>
      <c r="M473" s="9">
        <v>46073</v>
      </c>
      <c r="N473" s="18">
        <f t="shared" ca="1" si="22"/>
        <v>4</v>
      </c>
      <c r="O473" s="9">
        <v>46073</v>
      </c>
      <c r="P473" s="9" t="str">
        <f t="shared" si="23"/>
        <v>✅ Ja</v>
      </c>
      <c r="Q473" t="s">
        <v>838</v>
      </c>
      <c r="S473" t="s">
        <v>839</v>
      </c>
      <c r="T473" t="s">
        <v>540</v>
      </c>
      <c r="U473" t="s">
        <v>591</v>
      </c>
    </row>
    <row r="474" spans="2:21" x14ac:dyDescent="0.25">
      <c r="B474" t="s">
        <v>221</v>
      </c>
      <c r="C474" t="s">
        <v>469</v>
      </c>
      <c r="D474" t="str">
        <f>IF(_xlfn.XLOOKUP(C474, ABZ!A:A, ABZ!B:B, "", 0) = 0, "", _xlfn.XLOOKUP(C474, ABZ!A:A, ABZ!B:B, "", 0))</f>
        <v>VTR-CS-CM-Retail</v>
      </c>
      <c r="E474" t="s">
        <v>834</v>
      </c>
      <c r="F474" t="s">
        <v>527</v>
      </c>
      <c r="G474">
        <v>755</v>
      </c>
      <c r="I474">
        <f t="shared" si="21"/>
        <v>0</v>
      </c>
      <c r="L474" s="9">
        <v>46069</v>
      </c>
      <c r="M474" s="9">
        <v>46073</v>
      </c>
      <c r="N474" s="18">
        <f t="shared" ca="1" si="22"/>
        <v>4</v>
      </c>
      <c r="O474" s="9">
        <v>46073</v>
      </c>
      <c r="P474" s="9" t="str">
        <f t="shared" si="23"/>
        <v>✅ Ja</v>
      </c>
      <c r="Q474" t="s">
        <v>849</v>
      </c>
      <c r="R474" t="s">
        <v>841</v>
      </c>
      <c r="S474" t="s">
        <v>839</v>
      </c>
      <c r="T474" t="s">
        <v>540</v>
      </c>
      <c r="U474" t="s">
        <v>591</v>
      </c>
    </row>
    <row r="475" spans="2:21" x14ac:dyDescent="0.25">
      <c r="B475" t="s">
        <v>221</v>
      </c>
      <c r="C475" t="s">
        <v>469</v>
      </c>
      <c r="D475" t="str">
        <f>IF(_xlfn.XLOOKUP(C475, ABZ!A:A, ABZ!B:B, "", 0) = 0, "", _xlfn.XLOOKUP(C475, ABZ!A:A, ABZ!B:B, "", 0))</f>
        <v>VTR-CS-CM-Retail</v>
      </c>
      <c r="E475" t="s">
        <v>834</v>
      </c>
      <c r="F475" t="s">
        <v>529</v>
      </c>
      <c r="G475">
        <v>755</v>
      </c>
      <c r="I475">
        <f t="shared" si="21"/>
        <v>0</v>
      </c>
      <c r="L475" s="9">
        <v>46069</v>
      </c>
      <c r="M475" s="9">
        <v>46073</v>
      </c>
      <c r="N475" s="18">
        <f t="shared" ca="1" si="22"/>
        <v>4</v>
      </c>
      <c r="O475" s="9">
        <v>46073</v>
      </c>
      <c r="P475" s="9" t="str">
        <f t="shared" si="23"/>
        <v>✅ Ja</v>
      </c>
      <c r="Q475" t="s">
        <v>837</v>
      </c>
      <c r="R475" t="s">
        <v>846</v>
      </c>
      <c r="S475" t="s">
        <v>839</v>
      </c>
      <c r="T475" t="s">
        <v>540</v>
      </c>
      <c r="U475" t="s">
        <v>591</v>
      </c>
    </row>
    <row r="476" spans="2:21" x14ac:dyDescent="0.25">
      <c r="B476" t="s">
        <v>221</v>
      </c>
      <c r="C476" t="s">
        <v>469</v>
      </c>
      <c r="D476" t="str">
        <f>IF(_xlfn.XLOOKUP(C476, ABZ!A:A, ABZ!B:B, "", 0) = 0, "", _xlfn.XLOOKUP(C476, ABZ!A:A, ABZ!B:B, "", 0))</f>
        <v>VTR-CS-CM-Retail</v>
      </c>
      <c r="E476" t="s">
        <v>834</v>
      </c>
      <c r="F476" t="s">
        <v>527</v>
      </c>
      <c r="G476">
        <v>755</v>
      </c>
      <c r="I476">
        <f t="shared" si="21"/>
        <v>0</v>
      </c>
      <c r="L476" s="9">
        <v>46069</v>
      </c>
      <c r="M476" s="9">
        <v>46073</v>
      </c>
      <c r="N476" s="18">
        <f t="shared" ca="1" si="22"/>
        <v>4</v>
      </c>
      <c r="O476" s="9">
        <v>46073</v>
      </c>
      <c r="P476" s="9" t="str">
        <f t="shared" si="23"/>
        <v>✅ Ja</v>
      </c>
      <c r="Q476" t="s">
        <v>850</v>
      </c>
      <c r="R476" t="s">
        <v>836</v>
      </c>
      <c r="S476" t="s">
        <v>839</v>
      </c>
      <c r="T476" t="s">
        <v>540</v>
      </c>
      <c r="U476" t="s">
        <v>591</v>
      </c>
    </row>
    <row r="477" spans="2:21" x14ac:dyDescent="0.25">
      <c r="B477" t="s">
        <v>221</v>
      </c>
      <c r="C477" t="s">
        <v>469</v>
      </c>
      <c r="D477" t="str">
        <f>IF(_xlfn.XLOOKUP(C477, ABZ!A:A, ABZ!B:B, "", 0) = 0, "", _xlfn.XLOOKUP(C477, ABZ!A:A, ABZ!B:B, "", 0))</f>
        <v>VTR-CS-CM-Retail</v>
      </c>
      <c r="E477" t="s">
        <v>834</v>
      </c>
      <c r="F477" t="s">
        <v>531</v>
      </c>
      <c r="G477">
        <v>755</v>
      </c>
      <c r="I477">
        <f t="shared" si="21"/>
        <v>0</v>
      </c>
      <c r="L477" s="9">
        <v>46069</v>
      </c>
      <c r="M477" s="9">
        <v>46073</v>
      </c>
      <c r="N477" s="18">
        <f t="shared" ca="1" si="22"/>
        <v>4</v>
      </c>
      <c r="O477" s="9">
        <v>46073</v>
      </c>
      <c r="P477" s="9" t="str">
        <f t="shared" si="23"/>
        <v>✅ Ja</v>
      </c>
      <c r="Q477" t="s">
        <v>843</v>
      </c>
      <c r="R477" t="s">
        <v>840</v>
      </c>
      <c r="S477" t="s">
        <v>839</v>
      </c>
      <c r="T477" t="s">
        <v>540</v>
      </c>
      <c r="U477" t="s">
        <v>591</v>
      </c>
    </row>
    <row r="478" spans="2:21" x14ac:dyDescent="0.25">
      <c r="B478" t="s">
        <v>221</v>
      </c>
      <c r="C478" t="s">
        <v>469</v>
      </c>
      <c r="D478" t="str">
        <f>IF(_xlfn.XLOOKUP(C478, ABZ!A:A, ABZ!B:B, "", 0) = 0, "", _xlfn.XLOOKUP(C478, ABZ!A:A, ABZ!B:B, "", 0))</f>
        <v>VTR-CS-CM-Retail</v>
      </c>
      <c r="E478" t="s">
        <v>834</v>
      </c>
      <c r="F478" t="s">
        <v>530</v>
      </c>
      <c r="G478">
        <v>755</v>
      </c>
      <c r="I478">
        <f t="shared" si="21"/>
        <v>0</v>
      </c>
      <c r="L478" s="9">
        <v>46069</v>
      </c>
      <c r="M478" s="9">
        <v>46073</v>
      </c>
      <c r="N478" s="18">
        <f t="shared" ca="1" si="22"/>
        <v>4</v>
      </c>
      <c r="O478" s="9">
        <v>46073</v>
      </c>
      <c r="P478" s="9" t="str">
        <f t="shared" si="23"/>
        <v>✅ Ja</v>
      </c>
      <c r="Q478" t="s">
        <v>844</v>
      </c>
      <c r="R478" t="s">
        <v>839</v>
      </c>
      <c r="S478" t="s">
        <v>839</v>
      </c>
      <c r="T478" t="s">
        <v>540</v>
      </c>
      <c r="U478" t="s">
        <v>591</v>
      </c>
    </row>
    <row r="479" spans="2:21" x14ac:dyDescent="0.25">
      <c r="B479" t="s">
        <v>221</v>
      </c>
      <c r="C479" t="s">
        <v>469</v>
      </c>
      <c r="D479" t="str">
        <f>IF(_xlfn.XLOOKUP(C479, ABZ!A:A, ABZ!B:B, "", 0) = 0, "", _xlfn.XLOOKUP(C479, ABZ!A:A, ABZ!B:B, "", 0))</f>
        <v>VTR-CS-CM-Retail</v>
      </c>
      <c r="E479" t="s">
        <v>834</v>
      </c>
      <c r="F479" t="s">
        <v>535</v>
      </c>
      <c r="G479">
        <v>755</v>
      </c>
      <c r="I479">
        <f t="shared" si="21"/>
        <v>0</v>
      </c>
      <c r="L479" s="9">
        <v>46069</v>
      </c>
      <c r="M479" s="9">
        <v>46073</v>
      </c>
      <c r="N479" s="18">
        <f t="shared" ca="1" si="22"/>
        <v>4</v>
      </c>
      <c r="O479" s="9">
        <v>46073</v>
      </c>
      <c r="P479" s="9" t="str">
        <f t="shared" si="23"/>
        <v>✅ Ja</v>
      </c>
      <c r="Q479" t="s">
        <v>842</v>
      </c>
      <c r="S479" t="s">
        <v>839</v>
      </c>
      <c r="T479" t="s">
        <v>540</v>
      </c>
      <c r="U479" t="s">
        <v>591</v>
      </c>
    </row>
    <row r="480" spans="2:21" x14ac:dyDescent="0.25">
      <c r="B480" t="s">
        <v>222</v>
      </c>
      <c r="C480" t="s">
        <v>482</v>
      </c>
      <c r="D480" t="str">
        <f>IF(_xlfn.XLOOKUP(C480, ABZ!A:A, ABZ!B:B, "", 0) = 0, "", _xlfn.XLOOKUP(C480, ABZ!A:A, ABZ!B:B, "", 0))</f>
        <v>KOM-Marketing</v>
      </c>
      <c r="E480" t="s">
        <v>834</v>
      </c>
      <c r="F480" t="s">
        <v>529</v>
      </c>
      <c r="I480">
        <f t="shared" si="21"/>
        <v>1</v>
      </c>
      <c r="L480" s="9">
        <v>46070</v>
      </c>
      <c r="M480" s="9">
        <v>46070</v>
      </c>
      <c r="N480" s="18">
        <f t="shared" ca="1" si="22"/>
        <v>0</v>
      </c>
      <c r="O480" s="9">
        <v>46072</v>
      </c>
      <c r="P480" s="9" t="str">
        <f t="shared" si="23"/>
        <v>✅ Ja</v>
      </c>
      <c r="Q480" t="s">
        <v>837</v>
      </c>
      <c r="S480" t="s">
        <v>838</v>
      </c>
      <c r="T480" t="s">
        <v>540</v>
      </c>
      <c r="U480" t="s">
        <v>591</v>
      </c>
    </row>
    <row r="481" spans="2:21" x14ac:dyDescent="0.25">
      <c r="B481" t="s">
        <v>223</v>
      </c>
      <c r="C481" t="s">
        <v>460</v>
      </c>
      <c r="D481" t="str">
        <f>IF(_xlfn.XLOOKUP(C481, ABZ!A:A, ABZ!B:B, "", 0) = 0, "", _xlfn.XLOOKUP(C481, ABZ!A:A, ABZ!B:B, "", 0))</f>
        <v>ENT-PM-F-OS</v>
      </c>
      <c r="E481" t="s">
        <v>835</v>
      </c>
      <c r="F481" t="s">
        <v>532</v>
      </c>
      <c r="H481">
        <v>1</v>
      </c>
      <c r="I481">
        <f t="shared" si="21"/>
        <v>1</v>
      </c>
      <c r="L481" s="9">
        <v>46070</v>
      </c>
      <c r="M481" s="9">
        <v>46070</v>
      </c>
      <c r="N481" s="18">
        <f t="shared" ca="1" si="22"/>
        <v>0</v>
      </c>
      <c r="O481" s="9">
        <v>46070</v>
      </c>
      <c r="P481" s="9" t="str">
        <f t="shared" si="23"/>
        <v>✅ Ja</v>
      </c>
      <c r="Q481" t="s">
        <v>838</v>
      </c>
      <c r="S481" t="s">
        <v>838</v>
      </c>
      <c r="T481" t="s">
        <v>540</v>
      </c>
      <c r="U481" t="s">
        <v>592</v>
      </c>
    </row>
    <row r="482" spans="2:21" x14ac:dyDescent="0.25">
      <c r="B482" t="s">
        <v>224</v>
      </c>
      <c r="C482" t="s">
        <v>460</v>
      </c>
      <c r="D482" t="str">
        <f>IF(_xlfn.XLOOKUP(C482, ABZ!A:A, ABZ!B:B, "", 0) = 0, "", _xlfn.XLOOKUP(C482, ABZ!A:A, ABZ!B:B, "", 0))</f>
        <v>ENT-PM-F-OS</v>
      </c>
      <c r="E482" t="s">
        <v>834</v>
      </c>
      <c r="F482" t="s">
        <v>529</v>
      </c>
      <c r="I482">
        <f t="shared" si="21"/>
        <v>1</v>
      </c>
      <c r="L482" s="9">
        <v>46070</v>
      </c>
      <c r="M482" s="9">
        <v>46070</v>
      </c>
      <c r="N482" s="18">
        <f t="shared" ca="1" si="22"/>
        <v>0</v>
      </c>
      <c r="O482" s="9">
        <v>46070</v>
      </c>
      <c r="P482" s="9" t="str">
        <f t="shared" si="23"/>
        <v>✅ Ja</v>
      </c>
      <c r="Q482" t="s">
        <v>846</v>
      </c>
      <c r="S482" t="s">
        <v>838</v>
      </c>
      <c r="T482" t="s">
        <v>540</v>
      </c>
      <c r="U482" t="s">
        <v>592</v>
      </c>
    </row>
    <row r="483" spans="2:21" x14ac:dyDescent="0.25">
      <c r="B483" t="s">
        <v>225</v>
      </c>
      <c r="C483" t="s">
        <v>503</v>
      </c>
      <c r="D483" t="str">
        <f>IF(_xlfn.XLOOKUP(C483, ABZ!A:A, ABZ!B:B, "", 0) = 0, "", _xlfn.XLOOKUP(C483, ABZ!A:A, ABZ!B:B, "", 0))</f>
        <v>D2C-Shop</v>
      </c>
      <c r="E483" t="s">
        <v>834</v>
      </c>
      <c r="F483" t="s">
        <v>529</v>
      </c>
      <c r="I483">
        <f t="shared" si="21"/>
        <v>0</v>
      </c>
      <c r="L483" s="9">
        <v>46070</v>
      </c>
      <c r="M483" s="9">
        <v>46087</v>
      </c>
      <c r="N483" s="18">
        <f t="shared" ca="1" si="22"/>
        <v>17</v>
      </c>
      <c r="O483" s="9">
        <v>46087</v>
      </c>
      <c r="P483" s="9" t="str">
        <f t="shared" si="23"/>
        <v>✅ Ja</v>
      </c>
      <c r="Q483" t="s">
        <v>846</v>
      </c>
      <c r="S483" t="s">
        <v>841</v>
      </c>
      <c r="T483" t="s">
        <v>540</v>
      </c>
      <c r="U483" t="s">
        <v>623</v>
      </c>
    </row>
    <row r="484" spans="2:21" x14ac:dyDescent="0.25">
      <c r="B484" t="s">
        <v>225</v>
      </c>
      <c r="C484" t="s">
        <v>503</v>
      </c>
      <c r="D484" t="str">
        <f>IF(_xlfn.XLOOKUP(C484, ABZ!A:A, ABZ!B:B, "", 0) = 0, "", _xlfn.XLOOKUP(C484, ABZ!A:A, ABZ!B:B, "", 0))</f>
        <v>D2C-Shop</v>
      </c>
      <c r="E484" t="s">
        <v>834</v>
      </c>
      <c r="F484" t="s">
        <v>527</v>
      </c>
      <c r="I484">
        <f t="shared" si="21"/>
        <v>0</v>
      </c>
      <c r="J484" t="s">
        <v>875</v>
      </c>
      <c r="K484" t="s">
        <v>880</v>
      </c>
      <c r="L484" s="9">
        <v>46070</v>
      </c>
      <c r="M484" s="9">
        <v>46087</v>
      </c>
      <c r="N484" s="18">
        <f t="shared" ca="1" si="22"/>
        <v>17</v>
      </c>
      <c r="O484" s="9">
        <v>46087</v>
      </c>
      <c r="P484" s="9" t="str">
        <f t="shared" si="23"/>
        <v>✅ Ja</v>
      </c>
      <c r="Q484" t="s">
        <v>839</v>
      </c>
      <c r="S484" t="s">
        <v>841</v>
      </c>
      <c r="T484" t="s">
        <v>540</v>
      </c>
      <c r="U484" t="s">
        <v>623</v>
      </c>
    </row>
    <row r="485" spans="2:21" x14ac:dyDescent="0.25">
      <c r="B485" t="s">
        <v>225</v>
      </c>
      <c r="C485" t="s">
        <v>503</v>
      </c>
      <c r="D485" t="str">
        <f>IF(_xlfn.XLOOKUP(C485, ABZ!A:A, ABZ!B:B, "", 0) = 0, "", _xlfn.XLOOKUP(C485, ABZ!A:A, ABZ!B:B, "", 0))</f>
        <v>D2C-Shop</v>
      </c>
      <c r="E485" t="s">
        <v>834</v>
      </c>
      <c r="F485" t="s">
        <v>531</v>
      </c>
      <c r="I485">
        <f t="shared" si="21"/>
        <v>0</v>
      </c>
      <c r="J485" t="s">
        <v>875</v>
      </c>
      <c r="K485" t="s">
        <v>880</v>
      </c>
      <c r="L485" s="9">
        <v>46070</v>
      </c>
      <c r="M485" s="9">
        <v>46087</v>
      </c>
      <c r="N485" s="18">
        <f t="shared" ca="1" si="22"/>
        <v>17</v>
      </c>
      <c r="O485" s="9">
        <v>46087</v>
      </c>
      <c r="P485" s="9" t="str">
        <f t="shared" si="23"/>
        <v>✅ Ja</v>
      </c>
      <c r="Q485" t="s">
        <v>840</v>
      </c>
      <c r="S485" t="s">
        <v>841</v>
      </c>
      <c r="T485" t="s">
        <v>540</v>
      </c>
      <c r="U485" t="s">
        <v>623</v>
      </c>
    </row>
    <row r="486" spans="2:21" x14ac:dyDescent="0.25">
      <c r="B486" t="s">
        <v>225</v>
      </c>
      <c r="C486" t="s">
        <v>503</v>
      </c>
      <c r="D486" t="str">
        <f>IF(_xlfn.XLOOKUP(C486, ABZ!A:A, ABZ!B:B, "", 0) = 0, "", _xlfn.XLOOKUP(C486, ABZ!A:A, ABZ!B:B, "", 0))</f>
        <v>D2C-Shop</v>
      </c>
      <c r="E486" t="s">
        <v>834</v>
      </c>
      <c r="F486" t="s">
        <v>528</v>
      </c>
      <c r="I486">
        <f t="shared" si="21"/>
        <v>0</v>
      </c>
      <c r="L486" s="9">
        <v>46070</v>
      </c>
      <c r="M486" s="9">
        <v>46087</v>
      </c>
      <c r="N486" s="18">
        <f t="shared" ca="1" si="22"/>
        <v>17</v>
      </c>
      <c r="O486" s="9">
        <v>46087</v>
      </c>
      <c r="P486" s="9" t="str">
        <f t="shared" si="23"/>
        <v>✅ Ja</v>
      </c>
      <c r="Q486" t="s">
        <v>841</v>
      </c>
      <c r="S486" t="s">
        <v>841</v>
      </c>
      <c r="T486" t="s">
        <v>540</v>
      </c>
      <c r="U486" t="s">
        <v>623</v>
      </c>
    </row>
    <row r="487" spans="2:21" x14ac:dyDescent="0.25">
      <c r="B487" t="s">
        <v>225</v>
      </c>
      <c r="C487" t="s">
        <v>503</v>
      </c>
      <c r="D487" t="str">
        <f>IF(_xlfn.XLOOKUP(C487, ABZ!A:A, ABZ!B:B, "", 0) = 0, "", _xlfn.XLOOKUP(C487, ABZ!A:A, ABZ!B:B, "", 0))</f>
        <v>D2C-Shop</v>
      </c>
      <c r="E487" t="s">
        <v>834</v>
      </c>
      <c r="F487" t="s">
        <v>527</v>
      </c>
      <c r="I487">
        <f t="shared" si="21"/>
        <v>0</v>
      </c>
      <c r="L487" s="9">
        <v>46070</v>
      </c>
      <c r="M487" s="9">
        <v>46087</v>
      </c>
      <c r="N487" s="18">
        <f t="shared" ca="1" si="22"/>
        <v>17</v>
      </c>
      <c r="O487" s="9">
        <v>46087</v>
      </c>
      <c r="P487" s="9" t="str">
        <f t="shared" si="23"/>
        <v>✅ Ja</v>
      </c>
      <c r="Q487" t="s">
        <v>836</v>
      </c>
      <c r="S487" t="s">
        <v>841</v>
      </c>
      <c r="T487" t="s">
        <v>540</v>
      </c>
      <c r="U487" t="s">
        <v>623</v>
      </c>
    </row>
    <row r="488" spans="2:21" x14ac:dyDescent="0.25">
      <c r="B488" t="s">
        <v>226</v>
      </c>
      <c r="C488" t="s">
        <v>469</v>
      </c>
      <c r="D488" t="str">
        <f>IF(_xlfn.XLOOKUP(C488, ABZ!A:A, ABZ!B:B, "", 0) = 0, "", _xlfn.XLOOKUP(C488, ABZ!A:A, ABZ!B:B, "", 0))</f>
        <v>VTR-CS-CM-Retail</v>
      </c>
      <c r="E488" t="s">
        <v>835</v>
      </c>
      <c r="F488" t="s">
        <v>532</v>
      </c>
      <c r="H488">
        <v>1</v>
      </c>
      <c r="I488">
        <f t="shared" si="21"/>
        <v>0</v>
      </c>
      <c r="L488" s="9">
        <v>46071</v>
      </c>
      <c r="M488" s="9">
        <v>46071</v>
      </c>
      <c r="N488" s="18">
        <f t="shared" ca="1" si="22"/>
        <v>0</v>
      </c>
      <c r="O488" s="9">
        <v>46084</v>
      </c>
      <c r="P488" s="9" t="str">
        <f t="shared" si="23"/>
        <v>✅ Ja</v>
      </c>
      <c r="Q488" t="s">
        <v>838</v>
      </c>
      <c r="S488" t="s">
        <v>838</v>
      </c>
      <c r="T488" t="s">
        <v>540</v>
      </c>
      <c r="U488" t="s">
        <v>591</v>
      </c>
    </row>
    <row r="489" spans="2:21" x14ac:dyDescent="0.25">
      <c r="B489" t="s">
        <v>227</v>
      </c>
      <c r="C489" t="s">
        <v>469</v>
      </c>
      <c r="D489" t="str">
        <f>IF(_xlfn.XLOOKUP(C489, ABZ!A:A, ABZ!B:B, "", 0) = 0, "", _xlfn.XLOOKUP(C489, ABZ!A:A, ABZ!B:B, "", 0))</f>
        <v>VTR-CS-CM-Retail</v>
      </c>
      <c r="E489" t="s">
        <v>834</v>
      </c>
      <c r="F489" t="s">
        <v>529</v>
      </c>
      <c r="I489">
        <f t="shared" si="21"/>
        <v>0</v>
      </c>
      <c r="L489" s="9">
        <v>46071</v>
      </c>
      <c r="M489" s="9">
        <v>46084</v>
      </c>
      <c r="N489" s="18">
        <f t="shared" ca="1" si="22"/>
        <v>13</v>
      </c>
      <c r="O489" s="9">
        <v>46084</v>
      </c>
      <c r="P489" s="9" t="str">
        <f t="shared" si="23"/>
        <v>✅ Ja</v>
      </c>
      <c r="Q489" t="s">
        <v>845</v>
      </c>
      <c r="S489" t="s">
        <v>839</v>
      </c>
      <c r="T489" t="s">
        <v>540</v>
      </c>
      <c r="U489" t="s">
        <v>591</v>
      </c>
    </row>
    <row r="490" spans="2:21" x14ac:dyDescent="0.25">
      <c r="B490" t="s">
        <v>227</v>
      </c>
      <c r="C490" t="s">
        <v>469</v>
      </c>
      <c r="D490" t="str">
        <f>IF(_xlfn.XLOOKUP(C490, ABZ!A:A, ABZ!B:B, "", 0) = 0, "", _xlfn.XLOOKUP(C490, ABZ!A:A, ABZ!B:B, "", 0))</f>
        <v>VTR-CS-CM-Retail</v>
      </c>
      <c r="E490" t="s">
        <v>834</v>
      </c>
      <c r="F490" t="s">
        <v>527</v>
      </c>
      <c r="I490">
        <f t="shared" si="21"/>
        <v>0</v>
      </c>
      <c r="L490" s="9">
        <v>46071</v>
      </c>
      <c r="M490" s="9">
        <v>46084</v>
      </c>
      <c r="N490" s="18">
        <f t="shared" ca="1" si="22"/>
        <v>13</v>
      </c>
      <c r="O490" s="9">
        <v>46084</v>
      </c>
      <c r="P490" s="9" t="str">
        <f t="shared" si="23"/>
        <v>✅ Ja</v>
      </c>
      <c r="Q490" t="s">
        <v>849</v>
      </c>
      <c r="R490" t="s">
        <v>841</v>
      </c>
      <c r="S490" t="s">
        <v>839</v>
      </c>
      <c r="T490" t="s">
        <v>540</v>
      </c>
      <c r="U490" t="s">
        <v>591</v>
      </c>
    </row>
    <row r="491" spans="2:21" x14ac:dyDescent="0.25">
      <c r="B491" t="s">
        <v>227</v>
      </c>
      <c r="C491" t="s">
        <v>469</v>
      </c>
      <c r="D491" t="str">
        <f>IF(_xlfn.XLOOKUP(C491, ABZ!A:A, ABZ!B:B, "", 0) = 0, "", _xlfn.XLOOKUP(C491, ABZ!A:A, ABZ!B:B, "", 0))</f>
        <v>VTR-CS-CM-Retail</v>
      </c>
      <c r="E491" t="s">
        <v>834</v>
      </c>
      <c r="F491" t="s">
        <v>527</v>
      </c>
      <c r="I491">
        <f t="shared" si="21"/>
        <v>0</v>
      </c>
      <c r="L491" s="9">
        <v>46071</v>
      </c>
      <c r="M491" s="9">
        <v>46084</v>
      </c>
      <c r="N491" s="18">
        <f t="shared" ca="1" si="22"/>
        <v>13</v>
      </c>
      <c r="O491" s="9">
        <v>46084</v>
      </c>
      <c r="P491" s="9" t="str">
        <f t="shared" si="23"/>
        <v>✅ Ja</v>
      </c>
      <c r="Q491" t="s">
        <v>850</v>
      </c>
      <c r="R491" t="s">
        <v>836</v>
      </c>
      <c r="S491" t="s">
        <v>839</v>
      </c>
      <c r="T491" t="s">
        <v>540</v>
      </c>
      <c r="U491" t="s">
        <v>591</v>
      </c>
    </row>
    <row r="492" spans="2:21" x14ac:dyDescent="0.25">
      <c r="B492" t="s">
        <v>227</v>
      </c>
      <c r="C492" t="s">
        <v>469</v>
      </c>
      <c r="D492" t="str">
        <f>IF(_xlfn.XLOOKUP(C492, ABZ!A:A, ABZ!B:B, "", 0) = 0, "", _xlfn.XLOOKUP(C492, ABZ!A:A, ABZ!B:B, "", 0))</f>
        <v>VTR-CS-CM-Retail</v>
      </c>
      <c r="E492" t="s">
        <v>834</v>
      </c>
      <c r="F492" t="s">
        <v>531</v>
      </c>
      <c r="I492">
        <f t="shared" si="21"/>
        <v>0</v>
      </c>
      <c r="L492" s="9">
        <v>46071</v>
      </c>
      <c r="M492" s="9">
        <v>46084</v>
      </c>
      <c r="N492" s="18">
        <f t="shared" ca="1" si="22"/>
        <v>13</v>
      </c>
      <c r="O492" s="9">
        <v>46084</v>
      </c>
      <c r="P492" s="9" t="str">
        <f t="shared" si="23"/>
        <v>✅ Ja</v>
      </c>
      <c r="Q492" t="s">
        <v>843</v>
      </c>
      <c r="R492" t="s">
        <v>840</v>
      </c>
      <c r="S492" t="s">
        <v>839</v>
      </c>
      <c r="T492" t="s">
        <v>540</v>
      </c>
      <c r="U492" t="s">
        <v>591</v>
      </c>
    </row>
    <row r="493" spans="2:21" x14ac:dyDescent="0.25">
      <c r="B493" t="s">
        <v>227</v>
      </c>
      <c r="C493" t="s">
        <v>469</v>
      </c>
      <c r="D493" t="str">
        <f>IF(_xlfn.XLOOKUP(C493, ABZ!A:A, ABZ!B:B, "", 0) = 0, "", _xlfn.XLOOKUP(C493, ABZ!A:A, ABZ!B:B, "", 0))</f>
        <v>VTR-CS-CM-Retail</v>
      </c>
      <c r="E493" t="s">
        <v>834</v>
      </c>
      <c r="F493" t="s">
        <v>530</v>
      </c>
      <c r="I493">
        <f t="shared" si="21"/>
        <v>0</v>
      </c>
      <c r="L493" s="9">
        <v>46071</v>
      </c>
      <c r="M493" s="9">
        <v>46084</v>
      </c>
      <c r="N493" s="18">
        <f t="shared" ca="1" si="22"/>
        <v>13</v>
      </c>
      <c r="O493" s="9">
        <v>46084</v>
      </c>
      <c r="P493" s="9" t="str">
        <f t="shared" si="23"/>
        <v>✅ Ja</v>
      </c>
      <c r="Q493" t="s">
        <v>844</v>
      </c>
      <c r="R493" t="s">
        <v>839</v>
      </c>
      <c r="S493" t="s">
        <v>839</v>
      </c>
      <c r="T493" t="s">
        <v>540</v>
      </c>
      <c r="U493" t="s">
        <v>591</v>
      </c>
    </row>
    <row r="494" spans="2:21" x14ac:dyDescent="0.25">
      <c r="B494" t="s">
        <v>227</v>
      </c>
      <c r="C494" t="s">
        <v>469</v>
      </c>
      <c r="D494" t="str">
        <f>IF(_xlfn.XLOOKUP(C494, ABZ!A:A, ABZ!B:B, "", 0) = 0, "", _xlfn.XLOOKUP(C494, ABZ!A:A, ABZ!B:B, "", 0))</f>
        <v>VTR-CS-CM-Retail</v>
      </c>
      <c r="E494" t="s">
        <v>834</v>
      </c>
      <c r="F494" t="s">
        <v>535</v>
      </c>
      <c r="I494">
        <f t="shared" si="21"/>
        <v>0</v>
      </c>
      <c r="L494" s="9">
        <v>46071</v>
      </c>
      <c r="M494" s="9">
        <v>46084</v>
      </c>
      <c r="N494" s="18">
        <f t="shared" ca="1" si="22"/>
        <v>13</v>
      </c>
      <c r="O494" s="9">
        <v>46084</v>
      </c>
      <c r="P494" s="9" t="str">
        <f t="shared" si="23"/>
        <v>✅ Ja</v>
      </c>
      <c r="Q494" t="s">
        <v>842</v>
      </c>
      <c r="S494" t="s">
        <v>839</v>
      </c>
      <c r="T494" t="s">
        <v>540</v>
      </c>
      <c r="U494" t="s">
        <v>591</v>
      </c>
    </row>
    <row r="495" spans="2:21" x14ac:dyDescent="0.25">
      <c r="B495" s="3" t="s">
        <v>228</v>
      </c>
      <c r="C495" t="s">
        <v>504</v>
      </c>
      <c r="D495" t="str">
        <f>IF(_xlfn.XLOOKUP(C495, ABZ!A:A, ABZ!B:B, "", 0) = 0, "", _xlfn.XLOOKUP(C495, ABZ!A:A, ABZ!B:B, "", 0))</f>
        <v>SUP-TechnicalCommunication-TCO</v>
      </c>
      <c r="E495" t="s">
        <v>834</v>
      </c>
      <c r="F495" t="s">
        <v>528</v>
      </c>
      <c r="I495">
        <f t="shared" si="21"/>
        <v>0</v>
      </c>
      <c r="L495" s="9">
        <v>46069</v>
      </c>
      <c r="M495" s="9">
        <v>46070</v>
      </c>
      <c r="N495" s="18">
        <f t="shared" ca="1" si="22"/>
        <v>1</v>
      </c>
      <c r="O495" s="9">
        <v>46073</v>
      </c>
      <c r="P495" s="9" t="str">
        <f t="shared" si="23"/>
        <v>✅ Ja</v>
      </c>
      <c r="Q495" t="s">
        <v>841</v>
      </c>
      <c r="S495" t="s">
        <v>841</v>
      </c>
      <c r="T495" t="s">
        <v>540</v>
      </c>
    </row>
    <row r="496" spans="2:21" x14ac:dyDescent="0.25">
      <c r="B496" s="3" t="s">
        <v>228</v>
      </c>
      <c r="C496" t="s">
        <v>504</v>
      </c>
      <c r="D496" t="str">
        <f>IF(_xlfn.XLOOKUP(C496, ABZ!A:A, ABZ!B:B, "", 0) = 0, "", _xlfn.XLOOKUP(C496, ABZ!A:A, ABZ!B:B, "", 0))</f>
        <v>SUP-TechnicalCommunication-TCO</v>
      </c>
      <c r="E496" t="s">
        <v>834</v>
      </c>
      <c r="F496" t="s">
        <v>530</v>
      </c>
      <c r="I496">
        <f t="shared" si="21"/>
        <v>0</v>
      </c>
      <c r="L496" s="9">
        <v>46069</v>
      </c>
      <c r="M496" s="9">
        <v>46072</v>
      </c>
      <c r="N496" s="18">
        <f t="shared" ca="1" si="22"/>
        <v>3</v>
      </c>
      <c r="O496" s="9">
        <v>46073</v>
      </c>
      <c r="P496" s="9" t="str">
        <f t="shared" si="23"/>
        <v>✅ Ja</v>
      </c>
      <c r="Q496" t="s">
        <v>844</v>
      </c>
      <c r="S496" t="s">
        <v>841</v>
      </c>
      <c r="T496" t="s">
        <v>540</v>
      </c>
    </row>
    <row r="497" spans="2:21" x14ac:dyDescent="0.25">
      <c r="B497" s="3" t="s">
        <v>228</v>
      </c>
      <c r="C497" t="s">
        <v>504</v>
      </c>
      <c r="D497" t="str">
        <f>IF(_xlfn.XLOOKUP(C497, ABZ!A:A, ABZ!B:B, "", 0) = 0, "", _xlfn.XLOOKUP(C497, ABZ!A:A, ABZ!B:B, "", 0))</f>
        <v>SUP-TechnicalCommunication-TCO</v>
      </c>
      <c r="E497" t="s">
        <v>834</v>
      </c>
      <c r="F497" t="s">
        <v>528</v>
      </c>
      <c r="I497">
        <f t="shared" si="21"/>
        <v>0</v>
      </c>
      <c r="L497" s="9">
        <v>46069</v>
      </c>
      <c r="M497" s="9">
        <v>46071</v>
      </c>
      <c r="N497" s="18">
        <f t="shared" ca="1" si="22"/>
        <v>2</v>
      </c>
      <c r="O497" s="9">
        <v>46073</v>
      </c>
      <c r="P497" s="9" t="str">
        <f t="shared" si="23"/>
        <v>✅ Ja</v>
      </c>
      <c r="Q497" t="s">
        <v>841</v>
      </c>
      <c r="S497" t="s">
        <v>841</v>
      </c>
      <c r="T497" t="s">
        <v>540</v>
      </c>
    </row>
    <row r="498" spans="2:21" x14ac:dyDescent="0.25">
      <c r="B498" s="3" t="s">
        <v>228</v>
      </c>
      <c r="C498" t="s">
        <v>504</v>
      </c>
      <c r="D498" t="str">
        <f>IF(_xlfn.XLOOKUP(C498, ABZ!A:A, ABZ!B:B, "", 0) = 0, "", _xlfn.XLOOKUP(C498, ABZ!A:A, ABZ!B:B, "", 0))</f>
        <v>SUP-TechnicalCommunication-TCO</v>
      </c>
      <c r="E498" t="s">
        <v>834</v>
      </c>
      <c r="F498" t="s">
        <v>528</v>
      </c>
      <c r="I498">
        <f t="shared" si="21"/>
        <v>0</v>
      </c>
      <c r="L498" s="9">
        <v>46069</v>
      </c>
      <c r="M498" s="9">
        <v>46072</v>
      </c>
      <c r="N498" s="18">
        <f t="shared" ca="1" si="22"/>
        <v>3</v>
      </c>
      <c r="O498" s="9">
        <v>46073</v>
      </c>
      <c r="P498" s="9" t="str">
        <f t="shared" si="23"/>
        <v>✅ Ja</v>
      </c>
      <c r="Q498" t="s">
        <v>841</v>
      </c>
      <c r="S498" t="s">
        <v>841</v>
      </c>
      <c r="T498" t="s">
        <v>540</v>
      </c>
    </row>
    <row r="499" spans="2:21" x14ac:dyDescent="0.25">
      <c r="B499" s="3" t="s">
        <v>228</v>
      </c>
      <c r="C499" t="s">
        <v>504</v>
      </c>
      <c r="D499" t="str">
        <f>IF(_xlfn.XLOOKUP(C499, ABZ!A:A, ABZ!B:B, "", 0) = 0, "", _xlfn.XLOOKUP(C499, ABZ!A:A, ABZ!B:B, "", 0))</f>
        <v>SUP-TechnicalCommunication-TCO</v>
      </c>
      <c r="E499" t="s">
        <v>834</v>
      </c>
      <c r="F499" t="s">
        <v>528</v>
      </c>
      <c r="I499">
        <f t="shared" si="21"/>
        <v>0</v>
      </c>
      <c r="L499" s="9">
        <v>46069</v>
      </c>
      <c r="M499" s="9">
        <v>46072</v>
      </c>
      <c r="N499" s="18">
        <f t="shared" ca="1" si="22"/>
        <v>3</v>
      </c>
      <c r="O499" s="9">
        <v>46073</v>
      </c>
      <c r="P499" s="9" t="str">
        <f t="shared" si="23"/>
        <v>✅ Ja</v>
      </c>
      <c r="Q499" t="s">
        <v>841</v>
      </c>
      <c r="S499" t="s">
        <v>841</v>
      </c>
      <c r="T499" t="s">
        <v>540</v>
      </c>
    </row>
    <row r="500" spans="2:21" x14ac:dyDescent="0.25">
      <c r="B500" t="s">
        <v>229</v>
      </c>
      <c r="C500" t="s">
        <v>457</v>
      </c>
      <c r="D500" t="str">
        <f>IF(_xlfn.XLOOKUP(C500, ABZ!A:A, ABZ!B:B, "", 0) = 0, "", _xlfn.XLOOKUP(C500, ABZ!A:A, ABZ!B:B, "", 0))</f>
        <v>VTR-CS-SER-PartnerCommunication</v>
      </c>
      <c r="E500" t="s">
        <v>834</v>
      </c>
      <c r="F500" t="s">
        <v>527</v>
      </c>
      <c r="I500">
        <f t="shared" si="21"/>
        <v>0</v>
      </c>
      <c r="L500" s="9">
        <v>46071</v>
      </c>
      <c r="M500" s="9">
        <v>46076</v>
      </c>
      <c r="N500" s="18">
        <f t="shared" ca="1" si="22"/>
        <v>5</v>
      </c>
      <c r="O500" s="9">
        <v>46078</v>
      </c>
      <c r="P500" s="9" t="str">
        <f t="shared" si="23"/>
        <v>✅ Ja</v>
      </c>
      <c r="Q500" t="s">
        <v>836</v>
      </c>
      <c r="S500" t="s">
        <v>839</v>
      </c>
      <c r="T500" t="s">
        <v>540</v>
      </c>
      <c r="U500" t="s">
        <v>591</v>
      </c>
    </row>
    <row r="501" spans="2:21" x14ac:dyDescent="0.25">
      <c r="B501" t="s">
        <v>230</v>
      </c>
      <c r="C501" t="s">
        <v>484</v>
      </c>
      <c r="D501" t="str">
        <f>IF(_xlfn.XLOOKUP(C501, ABZ!A:A, ABZ!B:B, "", 0) = 0, "", _xlfn.XLOOKUP(C501, ABZ!A:A, ABZ!B:B, "", 0))</f>
        <v>ENT-PM-F-Box</v>
      </c>
      <c r="E501" t="s">
        <v>834</v>
      </c>
      <c r="F501" t="s">
        <v>529</v>
      </c>
      <c r="I501">
        <f t="shared" si="21"/>
        <v>0</v>
      </c>
      <c r="L501" s="9">
        <v>46071</v>
      </c>
      <c r="M501" s="9">
        <v>46076</v>
      </c>
      <c r="N501" s="18">
        <f t="shared" ca="1" si="22"/>
        <v>5</v>
      </c>
      <c r="O501" s="9">
        <v>46076</v>
      </c>
      <c r="P501" s="9" t="str">
        <f t="shared" si="23"/>
        <v>✅ Ja</v>
      </c>
      <c r="Q501" t="s">
        <v>846</v>
      </c>
      <c r="S501" t="s">
        <v>840</v>
      </c>
      <c r="T501" t="s">
        <v>540</v>
      </c>
      <c r="U501" t="s">
        <v>624</v>
      </c>
    </row>
    <row r="502" spans="2:21" x14ac:dyDescent="0.25">
      <c r="B502" t="s">
        <v>231</v>
      </c>
      <c r="C502" t="s">
        <v>475</v>
      </c>
      <c r="D502" t="str">
        <f>IF(_xlfn.XLOOKUP(C502, ABZ!A:A, ABZ!B:B, "", 0) = 0, "", _xlfn.XLOOKUP(C502, ABZ!A:A, ABZ!B:B, "", 0))</f>
        <v>SUP-TCO-KnowledgeManagement</v>
      </c>
      <c r="E502" t="s">
        <v>834</v>
      </c>
      <c r="F502" t="s">
        <v>529</v>
      </c>
      <c r="I502">
        <f t="shared" si="21"/>
        <v>0</v>
      </c>
      <c r="L502" s="9">
        <v>46071</v>
      </c>
      <c r="M502" s="9">
        <v>46076</v>
      </c>
      <c r="N502" s="18">
        <f t="shared" ca="1" si="22"/>
        <v>5</v>
      </c>
      <c r="O502" s="9">
        <v>46076</v>
      </c>
      <c r="P502" s="9" t="str">
        <f t="shared" si="23"/>
        <v>✅ Ja</v>
      </c>
      <c r="Q502" t="s">
        <v>846</v>
      </c>
      <c r="S502" t="s">
        <v>840</v>
      </c>
      <c r="T502" t="s">
        <v>540</v>
      </c>
      <c r="U502" t="s">
        <v>625</v>
      </c>
    </row>
    <row r="503" spans="2:21" x14ac:dyDescent="0.25">
      <c r="B503" t="s">
        <v>231</v>
      </c>
      <c r="C503" t="s">
        <v>475</v>
      </c>
      <c r="D503" t="str">
        <f>IF(_xlfn.XLOOKUP(C503, ABZ!A:A, ABZ!B:B, "", 0) = 0, "", _xlfn.XLOOKUP(C503, ABZ!A:A, ABZ!B:B, "", 0))</f>
        <v>SUP-TCO-KnowledgeManagement</v>
      </c>
      <c r="E503" t="s">
        <v>834</v>
      </c>
      <c r="F503" t="s">
        <v>530</v>
      </c>
      <c r="I503">
        <f t="shared" si="21"/>
        <v>0</v>
      </c>
      <c r="L503" s="9">
        <v>46071</v>
      </c>
      <c r="M503" s="9">
        <v>46076</v>
      </c>
      <c r="N503" s="18">
        <f t="shared" ca="1" si="22"/>
        <v>5</v>
      </c>
      <c r="O503" s="9">
        <v>46076</v>
      </c>
      <c r="P503" s="9" t="str">
        <f t="shared" si="23"/>
        <v>✅ Ja</v>
      </c>
      <c r="Q503" t="s">
        <v>844</v>
      </c>
      <c r="S503" t="s">
        <v>840</v>
      </c>
      <c r="T503" t="s">
        <v>540</v>
      </c>
      <c r="U503" t="s">
        <v>625</v>
      </c>
    </row>
    <row r="504" spans="2:21" x14ac:dyDescent="0.25">
      <c r="B504" t="s">
        <v>231</v>
      </c>
      <c r="C504" t="s">
        <v>475</v>
      </c>
      <c r="D504" t="str">
        <f>IF(_xlfn.XLOOKUP(C504, ABZ!A:A, ABZ!B:B, "", 0) = 0, "", _xlfn.XLOOKUP(C504, ABZ!A:A, ABZ!B:B, "", 0))</f>
        <v>SUP-TCO-KnowledgeManagement</v>
      </c>
      <c r="E504" t="s">
        <v>834</v>
      </c>
      <c r="F504" t="s">
        <v>528</v>
      </c>
      <c r="I504">
        <f t="shared" si="21"/>
        <v>0</v>
      </c>
      <c r="L504" s="9">
        <v>46071</v>
      </c>
      <c r="M504" s="9">
        <v>46076</v>
      </c>
      <c r="N504" s="18">
        <f t="shared" ca="1" si="22"/>
        <v>5</v>
      </c>
      <c r="O504" s="9">
        <v>46076</v>
      </c>
      <c r="P504" s="9" t="str">
        <f t="shared" si="23"/>
        <v>✅ Ja</v>
      </c>
      <c r="Q504" t="s">
        <v>841</v>
      </c>
      <c r="S504" t="s">
        <v>840</v>
      </c>
      <c r="T504" t="s">
        <v>540</v>
      </c>
      <c r="U504" t="s">
        <v>625</v>
      </c>
    </row>
    <row r="505" spans="2:21" x14ac:dyDescent="0.25">
      <c r="B505" t="s">
        <v>231</v>
      </c>
      <c r="C505" t="s">
        <v>475</v>
      </c>
      <c r="D505" t="str">
        <f>IF(_xlfn.XLOOKUP(C505, ABZ!A:A, ABZ!B:B, "", 0) = 0, "", _xlfn.XLOOKUP(C505, ABZ!A:A, ABZ!B:B, "", 0))</f>
        <v>SUP-TCO-KnowledgeManagement</v>
      </c>
      <c r="E505" t="s">
        <v>834</v>
      </c>
      <c r="F505" t="s">
        <v>527</v>
      </c>
      <c r="I505">
        <f t="shared" si="21"/>
        <v>0</v>
      </c>
      <c r="L505" s="9">
        <v>46071</v>
      </c>
      <c r="M505" s="9">
        <v>46076</v>
      </c>
      <c r="N505" s="18">
        <f t="shared" ca="1" si="22"/>
        <v>5</v>
      </c>
      <c r="O505" s="9">
        <v>46076</v>
      </c>
      <c r="P505" s="9" t="str">
        <f t="shared" si="23"/>
        <v>✅ Ja</v>
      </c>
      <c r="Q505" t="s">
        <v>836</v>
      </c>
      <c r="S505" t="s">
        <v>840</v>
      </c>
      <c r="T505" t="s">
        <v>540</v>
      </c>
      <c r="U505" t="s">
        <v>625</v>
      </c>
    </row>
    <row r="506" spans="2:21" x14ac:dyDescent="0.25">
      <c r="B506" t="s">
        <v>231</v>
      </c>
      <c r="C506" t="s">
        <v>475</v>
      </c>
      <c r="D506" t="str">
        <f>IF(_xlfn.XLOOKUP(C506, ABZ!A:A, ABZ!B:B, "", 0) = 0, "", _xlfn.XLOOKUP(C506, ABZ!A:A, ABZ!B:B, "", 0))</f>
        <v>SUP-TCO-KnowledgeManagement</v>
      </c>
      <c r="E506" t="s">
        <v>834</v>
      </c>
      <c r="F506" t="s">
        <v>531</v>
      </c>
      <c r="I506">
        <f t="shared" si="21"/>
        <v>0</v>
      </c>
      <c r="L506" s="9">
        <v>46071</v>
      </c>
      <c r="M506" s="9">
        <v>46076</v>
      </c>
      <c r="N506" s="18">
        <f t="shared" ca="1" si="22"/>
        <v>5</v>
      </c>
      <c r="O506" s="9">
        <v>46076</v>
      </c>
      <c r="P506" s="9" t="str">
        <f t="shared" si="23"/>
        <v>✅ Ja</v>
      </c>
      <c r="Q506" t="s">
        <v>840</v>
      </c>
      <c r="S506" t="s">
        <v>840</v>
      </c>
      <c r="T506" t="s">
        <v>540</v>
      </c>
      <c r="U506" t="s">
        <v>625</v>
      </c>
    </row>
    <row r="507" spans="2:21" x14ac:dyDescent="0.25">
      <c r="B507" t="s">
        <v>232</v>
      </c>
      <c r="C507" t="s">
        <v>459</v>
      </c>
      <c r="D507" t="str">
        <f>IF(_xlfn.XLOOKUP(C507, ABZ!A:A, ABZ!B:B, "", 0) = 0, "", _xlfn.XLOOKUP(C507, ABZ!A:A, ABZ!B:B, "", 0))</f>
        <v>ENT-PM-International</v>
      </c>
      <c r="E507" t="s">
        <v>835</v>
      </c>
      <c r="F507" t="s">
        <v>532</v>
      </c>
      <c r="H507">
        <v>1</v>
      </c>
      <c r="I507">
        <f t="shared" si="21"/>
        <v>1</v>
      </c>
      <c r="L507" s="9">
        <v>46072</v>
      </c>
      <c r="M507" s="9">
        <v>46072</v>
      </c>
      <c r="N507" s="18">
        <f t="shared" ca="1" si="22"/>
        <v>0</v>
      </c>
      <c r="O507" s="9">
        <v>46073</v>
      </c>
      <c r="P507" s="9" t="str">
        <f t="shared" si="23"/>
        <v>✅ Ja</v>
      </c>
      <c r="Q507" t="s">
        <v>838</v>
      </c>
      <c r="S507" t="s">
        <v>839</v>
      </c>
      <c r="T507" t="s">
        <v>540</v>
      </c>
      <c r="U507" t="s">
        <v>591</v>
      </c>
    </row>
    <row r="508" spans="2:21" x14ac:dyDescent="0.25">
      <c r="B508" t="s">
        <v>232</v>
      </c>
      <c r="C508" t="s">
        <v>459</v>
      </c>
      <c r="D508" t="str">
        <f>IF(_xlfn.XLOOKUP(C508, ABZ!A:A, ABZ!B:B, "", 0) = 0, "", _xlfn.XLOOKUP(C508, ABZ!A:A, ABZ!B:B, "", 0))</f>
        <v>ENT-PM-International</v>
      </c>
      <c r="E508" t="s">
        <v>834</v>
      </c>
      <c r="F508" t="s">
        <v>529</v>
      </c>
      <c r="I508">
        <f t="shared" si="21"/>
        <v>1</v>
      </c>
      <c r="L508" s="9">
        <v>46072</v>
      </c>
      <c r="M508" s="9">
        <v>46072</v>
      </c>
      <c r="N508" s="18">
        <f t="shared" ca="1" si="22"/>
        <v>0</v>
      </c>
      <c r="O508" s="9">
        <v>46073</v>
      </c>
      <c r="P508" s="9" t="str">
        <f t="shared" si="23"/>
        <v>✅ Ja</v>
      </c>
      <c r="Q508" t="s">
        <v>846</v>
      </c>
      <c r="R508" t="s">
        <v>845</v>
      </c>
      <c r="S508" t="s">
        <v>839</v>
      </c>
      <c r="T508" t="s">
        <v>540</v>
      </c>
      <c r="U508" t="s">
        <v>591</v>
      </c>
    </row>
    <row r="509" spans="2:21" x14ac:dyDescent="0.25">
      <c r="B509" t="s">
        <v>233</v>
      </c>
      <c r="C509" t="s">
        <v>505</v>
      </c>
      <c r="D509" t="str">
        <f>IF(_xlfn.XLOOKUP(C509, ABZ!A:A, ABZ!B:B, "", 0) = 0, "", _xlfn.XLOOKUP(C509, ABZ!A:A, ABZ!B:B, "", 0))</f>
        <v>ENT-IT-BES-CloudServices</v>
      </c>
      <c r="E509" t="s">
        <v>834</v>
      </c>
      <c r="F509" t="s">
        <v>529</v>
      </c>
      <c r="I509">
        <f t="shared" si="21"/>
        <v>0</v>
      </c>
      <c r="L509" s="9">
        <v>46072</v>
      </c>
      <c r="M509" s="9">
        <v>46076</v>
      </c>
      <c r="N509" s="18">
        <f t="shared" ca="1" si="22"/>
        <v>4</v>
      </c>
      <c r="O509" s="9">
        <v>46079</v>
      </c>
      <c r="P509" s="9" t="str">
        <f t="shared" si="23"/>
        <v>✅ Ja</v>
      </c>
      <c r="Q509" t="s">
        <v>837</v>
      </c>
      <c r="R509" t="s">
        <v>846</v>
      </c>
      <c r="S509" t="s">
        <v>838</v>
      </c>
      <c r="T509" t="s">
        <v>540</v>
      </c>
      <c r="U509" t="s">
        <v>589</v>
      </c>
    </row>
    <row r="510" spans="2:21" x14ac:dyDescent="0.25">
      <c r="B510" t="s">
        <v>233</v>
      </c>
      <c r="C510" t="s">
        <v>505</v>
      </c>
      <c r="D510" t="str">
        <f>IF(_xlfn.XLOOKUP(C510, ABZ!A:A, ABZ!B:B, "", 0) = 0, "", _xlfn.XLOOKUP(C510, ABZ!A:A, ABZ!B:B, "", 0))</f>
        <v>ENT-IT-BES-CloudServices</v>
      </c>
      <c r="E510" t="s">
        <v>834</v>
      </c>
      <c r="F510" t="s">
        <v>530</v>
      </c>
      <c r="I510">
        <f t="shared" si="21"/>
        <v>0</v>
      </c>
      <c r="L510" s="9">
        <v>46072</v>
      </c>
      <c r="M510" s="9">
        <v>46076</v>
      </c>
      <c r="N510" s="18">
        <f t="shared" ca="1" si="22"/>
        <v>4</v>
      </c>
      <c r="O510" s="9">
        <v>46079</v>
      </c>
      <c r="P510" s="9" t="str">
        <f t="shared" si="23"/>
        <v>✅ Ja</v>
      </c>
      <c r="Q510" t="s">
        <v>844</v>
      </c>
      <c r="R510" t="s">
        <v>839</v>
      </c>
      <c r="S510" t="s">
        <v>838</v>
      </c>
      <c r="T510" t="s">
        <v>540</v>
      </c>
      <c r="U510" t="s">
        <v>589</v>
      </c>
    </row>
    <row r="511" spans="2:21" x14ac:dyDescent="0.25">
      <c r="B511" t="s">
        <v>233</v>
      </c>
      <c r="C511" t="s">
        <v>505</v>
      </c>
      <c r="D511" t="str">
        <f>IF(_xlfn.XLOOKUP(C511, ABZ!A:A, ABZ!B:B, "", 0) = 0, "", _xlfn.XLOOKUP(C511, ABZ!A:A, ABZ!B:B, "", 0))</f>
        <v>ENT-IT-BES-CloudServices</v>
      </c>
      <c r="E511" t="s">
        <v>834</v>
      </c>
      <c r="F511" t="s">
        <v>531</v>
      </c>
      <c r="I511">
        <f t="shared" si="21"/>
        <v>0</v>
      </c>
      <c r="L511" s="9">
        <v>46072</v>
      </c>
      <c r="M511" s="9">
        <v>46076</v>
      </c>
      <c r="N511" s="18">
        <f t="shared" ca="1" si="22"/>
        <v>4</v>
      </c>
      <c r="O511" s="9">
        <v>46079</v>
      </c>
      <c r="P511" s="9" t="str">
        <f t="shared" si="23"/>
        <v>✅ Ja</v>
      </c>
      <c r="Q511" t="s">
        <v>843</v>
      </c>
      <c r="S511" t="s">
        <v>838</v>
      </c>
      <c r="T511" t="s">
        <v>540</v>
      </c>
      <c r="U511" t="s">
        <v>589</v>
      </c>
    </row>
    <row r="512" spans="2:21" x14ac:dyDescent="0.25">
      <c r="B512" t="s">
        <v>233</v>
      </c>
      <c r="C512" t="s">
        <v>505</v>
      </c>
      <c r="D512" t="str">
        <f>IF(_xlfn.XLOOKUP(C512, ABZ!A:A, ABZ!B:B, "", 0) = 0, "", _xlfn.XLOOKUP(C512, ABZ!A:A, ABZ!B:B, "", 0))</f>
        <v>ENT-IT-BES-CloudServices</v>
      </c>
      <c r="E512" t="s">
        <v>834</v>
      </c>
      <c r="F512" t="s">
        <v>528</v>
      </c>
      <c r="I512">
        <f t="shared" si="21"/>
        <v>0</v>
      </c>
      <c r="L512" s="9">
        <v>46072</v>
      </c>
      <c r="M512" s="9">
        <v>46079</v>
      </c>
      <c r="N512" s="18">
        <f t="shared" ca="1" si="22"/>
        <v>7</v>
      </c>
      <c r="O512" s="9">
        <v>46079</v>
      </c>
      <c r="P512" s="9" t="str">
        <f t="shared" si="23"/>
        <v>✅ Ja</v>
      </c>
      <c r="Q512" t="s">
        <v>841</v>
      </c>
      <c r="S512" t="s">
        <v>838</v>
      </c>
      <c r="T512" t="s">
        <v>540</v>
      </c>
      <c r="U512" t="s">
        <v>626</v>
      </c>
    </row>
    <row r="513" spans="2:21" x14ac:dyDescent="0.25">
      <c r="B513" t="s">
        <v>233</v>
      </c>
      <c r="C513" t="s">
        <v>505</v>
      </c>
      <c r="D513" t="str">
        <f>IF(_xlfn.XLOOKUP(C513, ABZ!A:A, ABZ!B:B, "", 0) = 0, "", _xlfn.XLOOKUP(C513, ABZ!A:A, ABZ!B:B, "", 0))</f>
        <v>ENT-IT-BES-CloudServices</v>
      </c>
      <c r="E513" t="s">
        <v>834</v>
      </c>
      <c r="F513" t="s">
        <v>527</v>
      </c>
      <c r="I513">
        <f t="shared" si="21"/>
        <v>0</v>
      </c>
      <c r="L513" s="9">
        <v>46072</v>
      </c>
      <c r="M513" s="9">
        <v>46076</v>
      </c>
      <c r="N513" s="18">
        <f t="shared" ca="1" si="22"/>
        <v>4</v>
      </c>
      <c r="O513" s="9">
        <v>46079</v>
      </c>
      <c r="P513" s="9" t="str">
        <f t="shared" si="23"/>
        <v>✅ Ja</v>
      </c>
      <c r="Q513" t="s">
        <v>836</v>
      </c>
      <c r="S513" t="s">
        <v>838</v>
      </c>
      <c r="T513" t="s">
        <v>540</v>
      </c>
      <c r="U513" t="s">
        <v>589</v>
      </c>
    </row>
    <row r="514" spans="2:21" x14ac:dyDescent="0.25">
      <c r="B514" s="4" t="s">
        <v>234</v>
      </c>
      <c r="C514" t="s">
        <v>457</v>
      </c>
      <c r="D514" t="str">
        <f>IF(_xlfn.XLOOKUP(C514, ABZ!A:A, ABZ!B:B, "", 0) = 0, "", _xlfn.XLOOKUP(C514, ABZ!A:A, ABZ!B:B, "", 0))</f>
        <v>VTR-CS-SER-PartnerCommunication</v>
      </c>
      <c r="E514" t="s">
        <v>834</v>
      </c>
      <c r="F514" t="s">
        <v>527</v>
      </c>
      <c r="I514">
        <f t="shared" si="21"/>
        <v>0</v>
      </c>
      <c r="L514" s="9">
        <v>46073</v>
      </c>
      <c r="M514" s="9">
        <v>46080</v>
      </c>
      <c r="N514" s="18">
        <f t="shared" ca="1" si="22"/>
        <v>7</v>
      </c>
      <c r="O514" s="9">
        <v>46080</v>
      </c>
      <c r="P514" s="9" t="str">
        <f t="shared" si="23"/>
        <v>✅ Ja</v>
      </c>
      <c r="Q514" t="s">
        <v>847</v>
      </c>
      <c r="R514" t="s">
        <v>841</v>
      </c>
      <c r="S514" t="s">
        <v>839</v>
      </c>
      <c r="T514" t="s">
        <v>540</v>
      </c>
      <c r="U514" t="s">
        <v>591</v>
      </c>
    </row>
    <row r="515" spans="2:21" x14ac:dyDescent="0.25">
      <c r="B515" s="4" t="s">
        <v>234</v>
      </c>
      <c r="C515" t="s">
        <v>457</v>
      </c>
      <c r="D515" t="str">
        <f>IF(_xlfn.XLOOKUP(C515, ABZ!A:A, ABZ!B:B, "", 0) = 0, "", _xlfn.XLOOKUP(C515, ABZ!A:A, ABZ!B:B, "", 0))</f>
        <v>VTR-CS-SER-PartnerCommunication</v>
      </c>
      <c r="E515" t="s">
        <v>834</v>
      </c>
      <c r="F515" t="s">
        <v>527</v>
      </c>
      <c r="I515">
        <f t="shared" ref="I515:I578" si="24">IF(AND(O515&lt;&gt;"",L515&lt;&gt;""),IF((O515-L515)&lt;=2,1,0),0)</f>
        <v>0</v>
      </c>
      <c r="L515" s="9">
        <v>46073</v>
      </c>
      <c r="M515" s="9">
        <v>46080</v>
      </c>
      <c r="N515" s="18">
        <f t="shared" ref="N515:N578" ca="1" si="25">IF(M515&lt;&gt;"",M515-L515,TODAY()-L515)</f>
        <v>7</v>
      </c>
      <c r="O515" s="9">
        <v>46080</v>
      </c>
      <c r="P515" s="9" t="str">
        <f t="shared" ref="P515:P578" si="26">IF(M515="","⏳ Offen",IF(M515&lt;=O515,"✅ Ja","❌ Nein"))</f>
        <v>✅ Ja</v>
      </c>
      <c r="Q515" t="s">
        <v>836</v>
      </c>
      <c r="S515" t="s">
        <v>839</v>
      </c>
      <c r="T515" t="s">
        <v>540</v>
      </c>
      <c r="U515" t="s">
        <v>591</v>
      </c>
    </row>
    <row r="516" spans="2:21" x14ac:dyDescent="0.25">
      <c r="B516" s="4" t="s">
        <v>234</v>
      </c>
      <c r="C516" t="s">
        <v>457</v>
      </c>
      <c r="D516" t="str">
        <f>IF(_xlfn.XLOOKUP(C516, ABZ!A:A, ABZ!B:B, "", 0) = 0, "", _xlfn.XLOOKUP(C516, ABZ!A:A, ABZ!B:B, "", 0))</f>
        <v>VTR-CS-SER-PartnerCommunication</v>
      </c>
      <c r="E516" t="s">
        <v>834</v>
      </c>
      <c r="F516" t="s">
        <v>530</v>
      </c>
      <c r="I516">
        <f t="shared" si="24"/>
        <v>0</v>
      </c>
      <c r="L516" s="9">
        <v>46073</v>
      </c>
      <c r="M516" s="9">
        <v>46080</v>
      </c>
      <c r="N516" s="18">
        <f t="shared" ca="1" si="25"/>
        <v>7</v>
      </c>
      <c r="O516" s="9">
        <v>46080</v>
      </c>
      <c r="P516" s="9" t="str">
        <f t="shared" si="26"/>
        <v>✅ Ja</v>
      </c>
      <c r="Q516" t="s">
        <v>844</v>
      </c>
      <c r="R516" t="s">
        <v>839</v>
      </c>
      <c r="S516" t="s">
        <v>839</v>
      </c>
      <c r="T516" t="s">
        <v>540</v>
      </c>
      <c r="U516" t="s">
        <v>591</v>
      </c>
    </row>
    <row r="517" spans="2:21" x14ac:dyDescent="0.25">
      <c r="B517" s="4" t="s">
        <v>235</v>
      </c>
      <c r="C517" t="s">
        <v>506</v>
      </c>
      <c r="D517" t="str">
        <f>IF(_xlfn.XLOOKUP(C517, ABZ!A:A, ABZ!B:B, "", 0) = 0, "", _xlfn.XLOOKUP(C517, ABZ!A:A, ABZ!B:B, "", 0))</f>
        <v>KOM-Online</v>
      </c>
      <c r="E517" t="s">
        <v>834</v>
      </c>
      <c r="F517" t="s">
        <v>529</v>
      </c>
      <c r="I517">
        <f t="shared" si="24"/>
        <v>0</v>
      </c>
      <c r="L517" s="9">
        <v>46073</v>
      </c>
      <c r="M517" s="9">
        <v>46077</v>
      </c>
      <c r="N517" s="18">
        <f t="shared" ca="1" si="25"/>
        <v>4</v>
      </c>
      <c r="O517" s="9">
        <v>46077</v>
      </c>
      <c r="P517" s="9" t="str">
        <f t="shared" si="26"/>
        <v>✅ Ja</v>
      </c>
      <c r="Q517" t="s">
        <v>846</v>
      </c>
      <c r="S517" t="s">
        <v>840</v>
      </c>
      <c r="T517" t="s">
        <v>540</v>
      </c>
      <c r="U517" t="s">
        <v>627</v>
      </c>
    </row>
    <row r="518" spans="2:21" x14ac:dyDescent="0.25">
      <c r="B518" s="4" t="s">
        <v>236</v>
      </c>
      <c r="C518" t="s">
        <v>506</v>
      </c>
      <c r="D518" t="str">
        <f>IF(_xlfn.XLOOKUP(C518, ABZ!A:A, ABZ!B:B, "", 0) = 0, "", _xlfn.XLOOKUP(C518, ABZ!A:A, ABZ!B:B, "", 0))</f>
        <v>KOM-Online</v>
      </c>
      <c r="E518" t="s">
        <v>834</v>
      </c>
      <c r="F518" t="s">
        <v>530</v>
      </c>
      <c r="I518">
        <f t="shared" si="24"/>
        <v>0</v>
      </c>
      <c r="L518" s="9">
        <v>46073</v>
      </c>
      <c r="M518" s="9">
        <v>46077</v>
      </c>
      <c r="N518" s="18">
        <f t="shared" ca="1" si="25"/>
        <v>4</v>
      </c>
      <c r="O518" s="9">
        <v>46077</v>
      </c>
      <c r="P518" s="9" t="str">
        <f t="shared" si="26"/>
        <v>✅ Ja</v>
      </c>
      <c r="Q518" t="s">
        <v>844</v>
      </c>
      <c r="S518" t="s">
        <v>840</v>
      </c>
      <c r="T518" t="s">
        <v>540</v>
      </c>
      <c r="U518" t="s">
        <v>627</v>
      </c>
    </row>
    <row r="519" spans="2:21" x14ac:dyDescent="0.25">
      <c r="B519" s="4" t="s">
        <v>237</v>
      </c>
      <c r="C519" t="s">
        <v>506</v>
      </c>
      <c r="D519" t="str">
        <f>IF(_xlfn.XLOOKUP(C519, ABZ!A:A, ABZ!B:B, "", 0) = 0, "", _xlfn.XLOOKUP(C519, ABZ!A:A, ABZ!B:B, "", 0))</f>
        <v>KOM-Online</v>
      </c>
      <c r="E519" t="s">
        <v>834</v>
      </c>
      <c r="F519" t="s">
        <v>531</v>
      </c>
      <c r="I519">
        <f t="shared" si="24"/>
        <v>0</v>
      </c>
      <c r="L519" s="9">
        <v>46073</v>
      </c>
      <c r="M519" s="9">
        <v>46077</v>
      </c>
      <c r="N519" s="18">
        <f t="shared" ca="1" si="25"/>
        <v>4</v>
      </c>
      <c r="O519" s="9">
        <v>46077</v>
      </c>
      <c r="P519" s="9" t="str">
        <f t="shared" si="26"/>
        <v>✅ Ja</v>
      </c>
      <c r="Q519" t="s">
        <v>843</v>
      </c>
      <c r="R519" t="s">
        <v>840</v>
      </c>
      <c r="S519" t="s">
        <v>840</v>
      </c>
      <c r="T519" t="s">
        <v>540</v>
      </c>
      <c r="U519" t="s">
        <v>627</v>
      </c>
    </row>
    <row r="520" spans="2:21" x14ac:dyDescent="0.25">
      <c r="B520" s="4" t="s">
        <v>238</v>
      </c>
      <c r="C520" t="s">
        <v>506</v>
      </c>
      <c r="D520" t="str">
        <f>IF(_xlfn.XLOOKUP(C520, ABZ!A:A, ABZ!B:B, "", 0) = 0, "", _xlfn.XLOOKUP(C520, ABZ!A:A, ABZ!B:B, "", 0))</f>
        <v>KOM-Online</v>
      </c>
      <c r="E520" t="s">
        <v>834</v>
      </c>
      <c r="F520" t="s">
        <v>528</v>
      </c>
      <c r="I520">
        <f t="shared" si="24"/>
        <v>0</v>
      </c>
      <c r="L520" s="9">
        <v>46073</v>
      </c>
      <c r="M520" s="9">
        <v>46077</v>
      </c>
      <c r="N520" s="18">
        <f t="shared" ca="1" si="25"/>
        <v>4</v>
      </c>
      <c r="O520" s="9">
        <v>46077</v>
      </c>
      <c r="P520" s="9" t="str">
        <f t="shared" si="26"/>
        <v>✅ Ja</v>
      </c>
      <c r="Q520" t="s">
        <v>847</v>
      </c>
      <c r="R520" t="s">
        <v>841</v>
      </c>
      <c r="S520" t="s">
        <v>840</v>
      </c>
      <c r="T520" t="s">
        <v>540</v>
      </c>
      <c r="U520" t="s">
        <v>627</v>
      </c>
    </row>
    <row r="521" spans="2:21" x14ac:dyDescent="0.25">
      <c r="B521" s="4" t="s">
        <v>239</v>
      </c>
      <c r="C521" t="s">
        <v>506</v>
      </c>
      <c r="D521" t="str">
        <f>IF(_xlfn.XLOOKUP(C521, ABZ!A:A, ABZ!B:B, "", 0) = 0, "", _xlfn.XLOOKUP(C521, ABZ!A:A, ABZ!B:B, "", 0))</f>
        <v>KOM-Online</v>
      </c>
      <c r="E521" t="s">
        <v>834</v>
      </c>
      <c r="F521" t="s">
        <v>527</v>
      </c>
      <c r="I521">
        <f t="shared" si="24"/>
        <v>0</v>
      </c>
      <c r="L521" s="9">
        <v>46073</v>
      </c>
      <c r="M521" s="9">
        <v>46076</v>
      </c>
      <c r="N521" s="18">
        <f t="shared" ca="1" si="25"/>
        <v>3</v>
      </c>
      <c r="O521" s="9">
        <v>46077</v>
      </c>
      <c r="P521" s="9" t="str">
        <f t="shared" si="26"/>
        <v>✅ Ja</v>
      </c>
      <c r="Q521" t="s">
        <v>850</v>
      </c>
      <c r="R521" t="s">
        <v>836</v>
      </c>
      <c r="S521" t="s">
        <v>840</v>
      </c>
      <c r="T521" t="s">
        <v>540</v>
      </c>
      <c r="U521" t="s">
        <v>627</v>
      </c>
    </row>
    <row r="522" spans="2:21" x14ac:dyDescent="0.25">
      <c r="B522" s="4" t="s">
        <v>240</v>
      </c>
      <c r="C522" t="s">
        <v>480</v>
      </c>
      <c r="D522" t="str">
        <f>IF(_xlfn.XLOOKUP(C522, ABZ!A:A, ABZ!B:B, "", 0) = 0, "", _xlfn.XLOOKUP(C522, ABZ!A:A, ABZ!B:B, "", 0))</f>
        <v>D2C-MarketingContent</v>
      </c>
      <c r="E522" t="s">
        <v>834</v>
      </c>
      <c r="F522" t="s">
        <v>529</v>
      </c>
      <c r="I522">
        <f t="shared" si="24"/>
        <v>1</v>
      </c>
      <c r="L522" s="9">
        <v>46072</v>
      </c>
      <c r="M522" s="9">
        <v>46073</v>
      </c>
      <c r="N522" s="18">
        <f t="shared" ca="1" si="25"/>
        <v>1</v>
      </c>
      <c r="O522" s="9">
        <v>46073</v>
      </c>
      <c r="P522" s="9" t="str">
        <f t="shared" si="26"/>
        <v>✅ Ja</v>
      </c>
      <c r="Q522" t="s">
        <v>845</v>
      </c>
      <c r="S522" t="s">
        <v>841</v>
      </c>
      <c r="T522" t="s">
        <v>540</v>
      </c>
      <c r="U522" t="s">
        <v>628</v>
      </c>
    </row>
    <row r="523" spans="2:21" x14ac:dyDescent="0.25">
      <c r="B523" s="4" t="s">
        <v>240</v>
      </c>
      <c r="C523" t="s">
        <v>480</v>
      </c>
      <c r="D523" t="str">
        <f>IF(_xlfn.XLOOKUP(C523, ABZ!A:A, ABZ!B:B, "", 0) = 0, "", _xlfn.XLOOKUP(C523, ABZ!A:A, ABZ!B:B, "", 0))</f>
        <v>D2C-MarketingContent</v>
      </c>
      <c r="E523" t="s">
        <v>834</v>
      </c>
      <c r="F523" t="s">
        <v>530</v>
      </c>
      <c r="I523">
        <f t="shared" si="24"/>
        <v>1</v>
      </c>
      <c r="L523" s="9">
        <v>46072</v>
      </c>
      <c r="M523" s="9">
        <v>46073</v>
      </c>
      <c r="N523" s="18">
        <f t="shared" ca="1" si="25"/>
        <v>1</v>
      </c>
      <c r="O523" s="9">
        <v>46073</v>
      </c>
      <c r="P523" s="9" t="str">
        <f t="shared" si="26"/>
        <v>✅ Ja</v>
      </c>
      <c r="Q523" t="s">
        <v>844</v>
      </c>
      <c r="S523" t="s">
        <v>841</v>
      </c>
      <c r="T523" t="s">
        <v>540</v>
      </c>
      <c r="U523" t="s">
        <v>628</v>
      </c>
    </row>
    <row r="524" spans="2:21" x14ac:dyDescent="0.25">
      <c r="B524" s="4" t="s">
        <v>240</v>
      </c>
      <c r="C524" t="s">
        <v>480</v>
      </c>
      <c r="D524" t="str">
        <f>IF(_xlfn.XLOOKUP(C524, ABZ!A:A, ABZ!B:B, "", 0) = 0, "", _xlfn.XLOOKUP(C524, ABZ!A:A, ABZ!B:B, "", 0))</f>
        <v>D2C-MarketingContent</v>
      </c>
      <c r="E524" t="s">
        <v>834</v>
      </c>
      <c r="F524" t="s">
        <v>531</v>
      </c>
      <c r="I524">
        <f t="shared" si="24"/>
        <v>1</v>
      </c>
      <c r="L524" s="9">
        <v>46072</v>
      </c>
      <c r="M524" s="9">
        <v>46073</v>
      </c>
      <c r="N524" s="18">
        <f t="shared" ca="1" si="25"/>
        <v>1</v>
      </c>
      <c r="O524" s="9">
        <v>46073</v>
      </c>
      <c r="P524" s="9" t="str">
        <f t="shared" si="26"/>
        <v>✅ Ja</v>
      </c>
      <c r="Q524" t="s">
        <v>840</v>
      </c>
      <c r="S524" t="s">
        <v>841</v>
      </c>
      <c r="T524" t="s">
        <v>540</v>
      </c>
      <c r="U524" t="s">
        <v>628</v>
      </c>
    </row>
    <row r="525" spans="2:21" x14ac:dyDescent="0.25">
      <c r="B525" s="4" t="s">
        <v>240</v>
      </c>
      <c r="C525" t="s">
        <v>480</v>
      </c>
      <c r="D525" t="str">
        <f>IF(_xlfn.XLOOKUP(C525, ABZ!A:A, ABZ!B:B, "", 0) = 0, "", _xlfn.XLOOKUP(C525, ABZ!A:A, ABZ!B:B, "", 0))</f>
        <v>D2C-MarketingContent</v>
      </c>
      <c r="E525" t="s">
        <v>834</v>
      </c>
      <c r="F525" t="s">
        <v>528</v>
      </c>
      <c r="I525">
        <f t="shared" si="24"/>
        <v>1</v>
      </c>
      <c r="L525" s="9">
        <v>46072</v>
      </c>
      <c r="M525" s="9">
        <v>46073</v>
      </c>
      <c r="N525" s="18">
        <f t="shared" ca="1" si="25"/>
        <v>1</v>
      </c>
      <c r="O525" s="9">
        <v>46073</v>
      </c>
      <c r="P525" s="9" t="str">
        <f t="shared" si="26"/>
        <v>✅ Ja</v>
      </c>
      <c r="Q525" t="s">
        <v>841</v>
      </c>
      <c r="S525" t="s">
        <v>841</v>
      </c>
      <c r="T525" t="s">
        <v>540</v>
      </c>
      <c r="U525" t="s">
        <v>628</v>
      </c>
    </row>
    <row r="526" spans="2:21" x14ac:dyDescent="0.25">
      <c r="B526" s="4" t="s">
        <v>240</v>
      </c>
      <c r="C526" t="s">
        <v>480</v>
      </c>
      <c r="D526" t="str">
        <f>IF(_xlfn.XLOOKUP(C526, ABZ!A:A, ABZ!B:B, "", 0) = 0, "", _xlfn.XLOOKUP(C526, ABZ!A:A, ABZ!B:B, "", 0))</f>
        <v>D2C-MarketingContent</v>
      </c>
      <c r="E526" t="s">
        <v>834</v>
      </c>
      <c r="F526" t="s">
        <v>527</v>
      </c>
      <c r="I526">
        <f t="shared" si="24"/>
        <v>1</v>
      </c>
      <c r="L526" s="9">
        <v>46072</v>
      </c>
      <c r="M526" s="9">
        <v>46073</v>
      </c>
      <c r="N526" s="18">
        <f t="shared" ca="1" si="25"/>
        <v>1</v>
      </c>
      <c r="O526" s="9">
        <v>46073</v>
      </c>
      <c r="P526" s="9" t="str">
        <f t="shared" si="26"/>
        <v>✅ Ja</v>
      </c>
      <c r="Q526" t="s">
        <v>836</v>
      </c>
      <c r="S526" t="s">
        <v>841</v>
      </c>
      <c r="T526" t="s">
        <v>540</v>
      </c>
      <c r="U526" t="s">
        <v>628</v>
      </c>
    </row>
    <row r="527" spans="2:21" x14ac:dyDescent="0.25">
      <c r="B527" s="4" t="s">
        <v>241</v>
      </c>
      <c r="C527" t="s">
        <v>503</v>
      </c>
      <c r="D527" t="str">
        <f>IF(_xlfn.XLOOKUP(C527, ABZ!A:A, ABZ!B:B, "", 0) = 0, "", _xlfn.XLOOKUP(C527, ABZ!A:A, ABZ!B:B, "", 0))</f>
        <v>D2C-Shop</v>
      </c>
      <c r="E527" t="s">
        <v>834</v>
      </c>
      <c r="F527" t="s">
        <v>530</v>
      </c>
      <c r="I527">
        <f t="shared" si="24"/>
        <v>1</v>
      </c>
      <c r="L527" s="9">
        <v>46076</v>
      </c>
      <c r="M527" s="9">
        <v>46076</v>
      </c>
      <c r="N527" s="18">
        <f t="shared" ca="1" si="25"/>
        <v>0</v>
      </c>
      <c r="O527" s="9">
        <v>46076</v>
      </c>
      <c r="P527" s="9" t="str">
        <f t="shared" si="26"/>
        <v>✅ Ja</v>
      </c>
      <c r="Q527" t="s">
        <v>844</v>
      </c>
      <c r="S527" t="s">
        <v>841</v>
      </c>
      <c r="T527" t="s">
        <v>540</v>
      </c>
      <c r="U527" t="s">
        <v>628</v>
      </c>
    </row>
    <row r="528" spans="2:21" x14ac:dyDescent="0.25">
      <c r="B528" s="4" t="s">
        <v>241</v>
      </c>
      <c r="C528" t="s">
        <v>503</v>
      </c>
      <c r="D528" t="str">
        <f>IF(_xlfn.XLOOKUP(C528, ABZ!A:A, ABZ!B:B, "", 0) = 0, "", _xlfn.XLOOKUP(C528, ABZ!A:A, ABZ!B:B, "", 0))</f>
        <v>D2C-Shop</v>
      </c>
      <c r="E528" t="s">
        <v>834</v>
      </c>
      <c r="F528" t="s">
        <v>531</v>
      </c>
      <c r="I528">
        <f t="shared" si="24"/>
        <v>1</v>
      </c>
      <c r="L528" s="9">
        <v>46076</v>
      </c>
      <c r="M528" s="9">
        <v>46076</v>
      </c>
      <c r="N528" s="18">
        <f t="shared" ca="1" si="25"/>
        <v>0</v>
      </c>
      <c r="O528" s="9">
        <v>46076</v>
      </c>
      <c r="P528" s="9" t="str">
        <f t="shared" si="26"/>
        <v>✅ Ja</v>
      </c>
      <c r="Q528" t="s">
        <v>840</v>
      </c>
      <c r="S528" t="s">
        <v>841</v>
      </c>
      <c r="T528" t="s">
        <v>540</v>
      </c>
      <c r="U528" t="s">
        <v>628</v>
      </c>
    </row>
    <row r="529" spans="2:21" x14ac:dyDescent="0.25">
      <c r="B529" s="4" t="s">
        <v>241</v>
      </c>
      <c r="C529" t="s">
        <v>503</v>
      </c>
      <c r="D529" t="str">
        <f>IF(_xlfn.XLOOKUP(C529, ABZ!A:A, ABZ!B:B, "", 0) = 0, "", _xlfn.XLOOKUP(C529, ABZ!A:A, ABZ!B:B, "", 0))</f>
        <v>D2C-Shop</v>
      </c>
      <c r="E529" t="s">
        <v>834</v>
      </c>
      <c r="F529" t="s">
        <v>528</v>
      </c>
      <c r="I529">
        <f t="shared" si="24"/>
        <v>1</v>
      </c>
      <c r="L529" s="9">
        <v>46076</v>
      </c>
      <c r="M529" s="9">
        <v>46076</v>
      </c>
      <c r="N529" s="18">
        <f t="shared" ca="1" si="25"/>
        <v>0</v>
      </c>
      <c r="O529" s="9">
        <v>46076</v>
      </c>
      <c r="P529" s="9" t="str">
        <f t="shared" si="26"/>
        <v>✅ Ja</v>
      </c>
      <c r="Q529" t="s">
        <v>841</v>
      </c>
      <c r="S529" t="s">
        <v>841</v>
      </c>
      <c r="T529" t="s">
        <v>540</v>
      </c>
      <c r="U529" t="s">
        <v>628</v>
      </c>
    </row>
    <row r="530" spans="2:21" x14ac:dyDescent="0.25">
      <c r="B530" s="4" t="s">
        <v>241</v>
      </c>
      <c r="C530" t="s">
        <v>503</v>
      </c>
      <c r="D530" t="str">
        <f>IF(_xlfn.XLOOKUP(C530, ABZ!A:A, ABZ!B:B, "", 0) = 0, "", _xlfn.XLOOKUP(C530, ABZ!A:A, ABZ!B:B, "", 0))</f>
        <v>D2C-Shop</v>
      </c>
      <c r="E530" t="s">
        <v>834</v>
      </c>
      <c r="F530" t="s">
        <v>527</v>
      </c>
      <c r="I530">
        <f t="shared" si="24"/>
        <v>1</v>
      </c>
      <c r="L530" s="9">
        <v>46076</v>
      </c>
      <c r="M530" s="9">
        <v>46076</v>
      </c>
      <c r="N530" s="18">
        <f t="shared" ca="1" si="25"/>
        <v>0</v>
      </c>
      <c r="O530" s="9">
        <v>46076</v>
      </c>
      <c r="P530" s="9" t="str">
        <f t="shared" si="26"/>
        <v>✅ Ja</v>
      </c>
      <c r="Q530" t="s">
        <v>836</v>
      </c>
      <c r="S530" t="s">
        <v>841</v>
      </c>
      <c r="T530" t="s">
        <v>540</v>
      </c>
      <c r="U530" t="s">
        <v>628</v>
      </c>
    </row>
    <row r="531" spans="2:21" x14ac:dyDescent="0.25">
      <c r="B531" s="4" t="s">
        <v>241</v>
      </c>
      <c r="C531" t="s">
        <v>503</v>
      </c>
      <c r="D531" t="str">
        <f>IF(_xlfn.XLOOKUP(C531, ABZ!A:A, ABZ!B:B, "", 0) = 0, "", _xlfn.XLOOKUP(C531, ABZ!A:A, ABZ!B:B, "", 0))</f>
        <v>D2C-Shop</v>
      </c>
      <c r="E531" t="s">
        <v>834</v>
      </c>
      <c r="F531" t="s">
        <v>535</v>
      </c>
      <c r="I531">
        <f t="shared" si="24"/>
        <v>1</v>
      </c>
      <c r="L531" s="9">
        <v>46076</v>
      </c>
      <c r="M531" s="9">
        <v>46076</v>
      </c>
      <c r="N531" s="18">
        <f t="shared" ca="1" si="25"/>
        <v>0</v>
      </c>
      <c r="O531" s="9">
        <v>46076</v>
      </c>
      <c r="P531" s="9" t="str">
        <f t="shared" si="26"/>
        <v>✅ Ja</v>
      </c>
      <c r="Q531" t="s">
        <v>842</v>
      </c>
      <c r="S531" t="s">
        <v>841</v>
      </c>
      <c r="T531" t="s">
        <v>540</v>
      </c>
      <c r="U531" t="s">
        <v>628</v>
      </c>
    </row>
    <row r="532" spans="2:21" x14ac:dyDescent="0.25">
      <c r="B532" s="4" t="s">
        <v>242</v>
      </c>
      <c r="C532" t="s">
        <v>507</v>
      </c>
      <c r="D532" t="str">
        <f>IF(_xlfn.XLOOKUP(C532, ABZ!A:A, ABZ!B:B, "", 0) = 0, "", _xlfn.XLOOKUP(C532, ABZ!A:A, ABZ!B:B, "", 0))</f>
        <v>KOM-Marketing</v>
      </c>
      <c r="E532" t="s">
        <v>835</v>
      </c>
      <c r="F532" t="s">
        <v>532</v>
      </c>
      <c r="H532">
        <v>1</v>
      </c>
      <c r="I532">
        <f t="shared" si="24"/>
        <v>1</v>
      </c>
      <c r="L532" s="9">
        <v>46076</v>
      </c>
      <c r="M532" s="9">
        <v>46076</v>
      </c>
      <c r="N532" s="18">
        <f t="shared" ca="1" si="25"/>
        <v>0</v>
      </c>
      <c r="O532" s="9">
        <v>46076</v>
      </c>
      <c r="P532" s="9" t="str">
        <f t="shared" si="26"/>
        <v>✅ Ja</v>
      </c>
      <c r="Q532" t="s">
        <v>838</v>
      </c>
      <c r="S532" t="s">
        <v>840</v>
      </c>
      <c r="T532" t="s">
        <v>540</v>
      </c>
      <c r="U532" t="s">
        <v>591</v>
      </c>
    </row>
    <row r="533" spans="2:21" x14ac:dyDescent="0.25">
      <c r="B533" s="4" t="s">
        <v>242</v>
      </c>
      <c r="C533" t="s">
        <v>507</v>
      </c>
      <c r="D533" t="str">
        <f>IF(_xlfn.XLOOKUP(C533, ABZ!A:A, ABZ!B:B, "", 0) = 0, "", _xlfn.XLOOKUP(C533, ABZ!A:A, ABZ!B:B, "", 0))</f>
        <v>KOM-Marketing</v>
      </c>
      <c r="E533" t="s">
        <v>834</v>
      </c>
      <c r="F533" t="s">
        <v>529</v>
      </c>
      <c r="I533">
        <f t="shared" si="24"/>
        <v>1</v>
      </c>
      <c r="L533" s="9">
        <v>46076</v>
      </c>
      <c r="M533" s="9">
        <v>46076</v>
      </c>
      <c r="N533" s="18">
        <f t="shared" ca="1" si="25"/>
        <v>0</v>
      </c>
      <c r="O533" s="9">
        <v>46076</v>
      </c>
      <c r="P533" s="9" t="str">
        <f t="shared" si="26"/>
        <v>✅ Ja</v>
      </c>
      <c r="Q533" t="s">
        <v>846</v>
      </c>
      <c r="S533" t="s">
        <v>840</v>
      </c>
      <c r="T533" t="s">
        <v>540</v>
      </c>
      <c r="U533" t="s">
        <v>591</v>
      </c>
    </row>
    <row r="534" spans="2:21" x14ac:dyDescent="0.25">
      <c r="B534" s="4" t="s">
        <v>243</v>
      </c>
      <c r="C534" t="s">
        <v>463</v>
      </c>
      <c r="D534" t="str">
        <f>IF(_xlfn.XLOOKUP(C534, ABZ!A:A, ABZ!B:B, "", 0) = 0, "", _xlfn.XLOOKUP(C534, ABZ!A:A, ABZ!B:B, "", 0))</f>
        <v>D2C-MarketingContent</v>
      </c>
      <c r="E534" t="s">
        <v>834</v>
      </c>
      <c r="F534" t="s">
        <v>529</v>
      </c>
      <c r="I534">
        <f t="shared" si="24"/>
        <v>0</v>
      </c>
      <c r="L534" s="9">
        <v>46076</v>
      </c>
      <c r="M534" s="9">
        <v>46079</v>
      </c>
      <c r="N534" s="18">
        <f t="shared" ca="1" si="25"/>
        <v>3</v>
      </c>
      <c r="O534" s="9">
        <v>46080</v>
      </c>
      <c r="P534" s="9" t="str">
        <f t="shared" si="26"/>
        <v>✅ Ja</v>
      </c>
      <c r="Q534" t="s">
        <v>837</v>
      </c>
      <c r="S534" t="s">
        <v>841</v>
      </c>
      <c r="T534" t="s">
        <v>540</v>
      </c>
      <c r="U534" t="s">
        <v>629</v>
      </c>
    </row>
    <row r="535" spans="2:21" x14ac:dyDescent="0.25">
      <c r="B535" s="4" t="s">
        <v>243</v>
      </c>
      <c r="C535" t="s">
        <v>488</v>
      </c>
      <c r="D535" t="str">
        <f>IF(_xlfn.XLOOKUP(C535, ABZ!A:A, ABZ!B:B, "", 0) = 0, "", _xlfn.XLOOKUP(C535, ABZ!A:A, ABZ!B:B, "", 0))</f>
        <v>D2C-MarketingContent</v>
      </c>
      <c r="E535" t="s">
        <v>834</v>
      </c>
      <c r="F535" t="s">
        <v>530</v>
      </c>
      <c r="I535">
        <f t="shared" si="24"/>
        <v>0</v>
      </c>
      <c r="J535" t="s">
        <v>875</v>
      </c>
      <c r="K535" t="s">
        <v>881</v>
      </c>
      <c r="L535" s="9">
        <v>46076</v>
      </c>
      <c r="M535" s="9">
        <v>46079</v>
      </c>
      <c r="N535" s="18">
        <f t="shared" ca="1" si="25"/>
        <v>3</v>
      </c>
      <c r="O535" s="9">
        <v>46080</v>
      </c>
      <c r="P535" s="9" t="str">
        <f t="shared" si="26"/>
        <v>✅ Ja</v>
      </c>
      <c r="Q535" t="s">
        <v>844</v>
      </c>
      <c r="S535" t="s">
        <v>841</v>
      </c>
      <c r="T535" t="s">
        <v>540</v>
      </c>
      <c r="U535" t="s">
        <v>630</v>
      </c>
    </row>
    <row r="536" spans="2:21" x14ac:dyDescent="0.25">
      <c r="B536" s="4" t="s">
        <v>243</v>
      </c>
      <c r="C536" t="s">
        <v>463</v>
      </c>
      <c r="D536" t="str">
        <f>IF(_xlfn.XLOOKUP(C536, ABZ!A:A, ABZ!B:B, "", 0) = 0, "", _xlfn.XLOOKUP(C536, ABZ!A:A, ABZ!B:B, "", 0))</f>
        <v>D2C-MarketingContent</v>
      </c>
      <c r="E536" t="s">
        <v>834</v>
      </c>
      <c r="F536" t="s">
        <v>528</v>
      </c>
      <c r="I536">
        <f t="shared" si="24"/>
        <v>0</v>
      </c>
      <c r="J536" t="s">
        <v>875</v>
      </c>
      <c r="K536" t="s">
        <v>881</v>
      </c>
      <c r="L536" s="9">
        <v>46076</v>
      </c>
      <c r="M536" s="9">
        <v>46079</v>
      </c>
      <c r="N536" s="18">
        <f t="shared" ca="1" si="25"/>
        <v>3</v>
      </c>
      <c r="O536" s="9">
        <v>46080</v>
      </c>
      <c r="P536" s="9" t="str">
        <f t="shared" si="26"/>
        <v>✅ Ja</v>
      </c>
      <c r="Q536" t="s">
        <v>847</v>
      </c>
      <c r="R536" t="s">
        <v>841</v>
      </c>
      <c r="S536" t="s">
        <v>841</v>
      </c>
      <c r="T536" t="s">
        <v>540</v>
      </c>
      <c r="U536" t="s">
        <v>631</v>
      </c>
    </row>
    <row r="537" spans="2:21" x14ac:dyDescent="0.25">
      <c r="B537" s="4" t="s">
        <v>243</v>
      </c>
      <c r="C537" t="s">
        <v>463</v>
      </c>
      <c r="D537" t="str">
        <f>IF(_xlfn.XLOOKUP(C537, ABZ!A:A, ABZ!B:B, "", 0) = 0, "", _xlfn.XLOOKUP(C537, ABZ!A:A, ABZ!B:B, "", 0))</f>
        <v>D2C-MarketingContent</v>
      </c>
      <c r="E537" t="s">
        <v>834</v>
      </c>
      <c r="F537" t="s">
        <v>527</v>
      </c>
      <c r="I537">
        <f t="shared" si="24"/>
        <v>0</v>
      </c>
      <c r="L537" s="9">
        <v>46076</v>
      </c>
      <c r="M537" s="9">
        <v>46079</v>
      </c>
      <c r="N537" s="18">
        <f t="shared" ca="1" si="25"/>
        <v>3</v>
      </c>
      <c r="O537" s="9">
        <v>46080</v>
      </c>
      <c r="P537" s="9" t="str">
        <f t="shared" si="26"/>
        <v>✅ Ja</v>
      </c>
      <c r="Q537" t="s">
        <v>836</v>
      </c>
      <c r="S537" t="s">
        <v>841</v>
      </c>
      <c r="T537" t="s">
        <v>540</v>
      </c>
      <c r="U537" t="s">
        <v>623</v>
      </c>
    </row>
    <row r="538" spans="2:21" x14ac:dyDescent="0.25">
      <c r="B538" s="4" t="s">
        <v>244</v>
      </c>
      <c r="C538" t="s">
        <v>472</v>
      </c>
      <c r="D538" t="str">
        <f>IF(_xlfn.XLOOKUP(C538, ABZ!A:A, ABZ!B:B, "", 0) = 0, "", _xlfn.XLOOKUP(C538, ABZ!A:A, ABZ!B:B, "", 0))</f>
        <v>D2C-MarketingContent</v>
      </c>
      <c r="E538" t="s">
        <v>835</v>
      </c>
      <c r="F538" t="s">
        <v>532</v>
      </c>
      <c r="H538">
        <v>1</v>
      </c>
      <c r="I538">
        <f t="shared" si="24"/>
        <v>1</v>
      </c>
      <c r="L538" s="9">
        <v>46077</v>
      </c>
      <c r="M538" s="9">
        <v>46077</v>
      </c>
      <c r="N538" s="18">
        <f t="shared" ca="1" si="25"/>
        <v>0</v>
      </c>
      <c r="O538" s="9">
        <v>46077</v>
      </c>
      <c r="P538" s="9" t="str">
        <f t="shared" si="26"/>
        <v>✅ Ja</v>
      </c>
      <c r="Q538" t="s">
        <v>838</v>
      </c>
      <c r="S538" t="s">
        <v>841</v>
      </c>
      <c r="T538" t="s">
        <v>540</v>
      </c>
      <c r="U538" t="s">
        <v>593</v>
      </c>
    </row>
    <row r="539" spans="2:21" x14ac:dyDescent="0.25">
      <c r="B539" t="s">
        <v>245</v>
      </c>
      <c r="C539" t="s">
        <v>507</v>
      </c>
      <c r="D539" t="str">
        <f>IF(_xlfn.XLOOKUP(C539, ABZ!A:A, ABZ!B:B, "", 0) = 0, "", _xlfn.XLOOKUP(C539, ABZ!A:A, ABZ!B:B, "", 0))</f>
        <v>KOM-Marketing</v>
      </c>
      <c r="E539" t="s">
        <v>834</v>
      </c>
      <c r="F539" t="s">
        <v>529</v>
      </c>
      <c r="I539">
        <f t="shared" si="24"/>
        <v>1</v>
      </c>
      <c r="L539" s="9">
        <v>46077</v>
      </c>
      <c r="M539" s="9">
        <v>46077</v>
      </c>
      <c r="N539" s="18">
        <f t="shared" ca="1" si="25"/>
        <v>0</v>
      </c>
      <c r="O539" s="9">
        <v>46078</v>
      </c>
      <c r="P539" s="9" t="str">
        <f t="shared" si="26"/>
        <v>✅ Ja</v>
      </c>
      <c r="Q539" t="s">
        <v>846</v>
      </c>
      <c r="S539" t="s">
        <v>840</v>
      </c>
      <c r="T539" t="s">
        <v>540</v>
      </c>
      <c r="U539" t="s">
        <v>591</v>
      </c>
    </row>
    <row r="540" spans="2:21" x14ac:dyDescent="0.25">
      <c r="B540" s="4" t="s">
        <v>246</v>
      </c>
      <c r="C540" t="s">
        <v>460</v>
      </c>
      <c r="D540" t="str">
        <f>IF(_xlfn.XLOOKUP(C540, ABZ!A:A, ABZ!B:B, "", 0) = 0, "", _xlfn.XLOOKUP(C540, ABZ!A:A, ABZ!B:B, "", 0))</f>
        <v>ENT-PM-F-OS</v>
      </c>
      <c r="E540" t="s">
        <v>835</v>
      </c>
      <c r="F540" t="s">
        <v>532</v>
      </c>
      <c r="H540">
        <v>1</v>
      </c>
      <c r="I540">
        <f t="shared" si="24"/>
        <v>1</v>
      </c>
      <c r="L540" s="9">
        <v>46077</v>
      </c>
      <c r="M540" s="9">
        <v>46077</v>
      </c>
      <c r="N540" s="18">
        <f t="shared" ca="1" si="25"/>
        <v>0</v>
      </c>
      <c r="O540" s="9">
        <v>46077</v>
      </c>
      <c r="P540" s="9" t="str">
        <f t="shared" si="26"/>
        <v>✅ Ja</v>
      </c>
      <c r="Q540" t="s">
        <v>838</v>
      </c>
      <c r="S540" t="s">
        <v>838</v>
      </c>
      <c r="T540" t="s">
        <v>540</v>
      </c>
      <c r="U540" t="s">
        <v>592</v>
      </c>
    </row>
    <row r="541" spans="2:21" x14ac:dyDescent="0.25">
      <c r="B541" s="4" t="s">
        <v>247</v>
      </c>
      <c r="C541" t="s">
        <v>460</v>
      </c>
      <c r="D541" t="str">
        <f>IF(_xlfn.XLOOKUP(C541, ABZ!A:A, ABZ!B:B, "", 0) = 0, "", _xlfn.XLOOKUP(C541, ABZ!A:A, ABZ!B:B, "", 0))</f>
        <v>ENT-PM-F-OS</v>
      </c>
      <c r="E541" t="s">
        <v>834</v>
      </c>
      <c r="F541" t="s">
        <v>529</v>
      </c>
      <c r="I541">
        <f t="shared" si="24"/>
        <v>1</v>
      </c>
      <c r="L541" s="9">
        <v>46077</v>
      </c>
      <c r="M541" s="9">
        <v>46077</v>
      </c>
      <c r="N541" s="18">
        <f t="shared" ca="1" si="25"/>
        <v>0</v>
      </c>
      <c r="O541" s="9">
        <v>46077</v>
      </c>
      <c r="P541" s="9" t="str">
        <f t="shared" si="26"/>
        <v>✅ Ja</v>
      </c>
      <c r="Q541" t="s">
        <v>846</v>
      </c>
      <c r="S541" t="s">
        <v>838</v>
      </c>
      <c r="T541" t="s">
        <v>540</v>
      </c>
      <c r="U541" t="s">
        <v>592</v>
      </c>
    </row>
    <row r="542" spans="2:21" x14ac:dyDescent="0.25">
      <c r="B542" s="4" t="s">
        <v>248</v>
      </c>
      <c r="C542" t="s">
        <v>485</v>
      </c>
      <c r="D542" t="str">
        <f>IF(_xlfn.XLOOKUP(C542, ABZ!A:A, ABZ!B:B, "", 0) = 0, "", _xlfn.XLOOKUP(C542, ABZ!A:A, ABZ!B:B, "", 0))</f>
        <v>VTR-CS-SER-PartnerCommunication</v>
      </c>
      <c r="E542" t="s">
        <v>835</v>
      </c>
      <c r="F542" t="s">
        <v>532</v>
      </c>
      <c r="H542">
        <v>1</v>
      </c>
      <c r="I542">
        <f t="shared" si="24"/>
        <v>0</v>
      </c>
      <c r="L542" s="9">
        <v>46077</v>
      </c>
      <c r="M542" s="9">
        <v>46078</v>
      </c>
      <c r="N542" s="18">
        <f t="shared" ca="1" si="25"/>
        <v>1</v>
      </c>
      <c r="O542" s="9">
        <v>46083</v>
      </c>
      <c r="P542" s="9" t="str">
        <f t="shared" si="26"/>
        <v>✅ Ja</v>
      </c>
      <c r="Q542" t="s">
        <v>838</v>
      </c>
      <c r="S542" t="s">
        <v>838</v>
      </c>
      <c r="T542" t="s">
        <v>540</v>
      </c>
    </row>
    <row r="543" spans="2:21" x14ac:dyDescent="0.25">
      <c r="B543" t="s">
        <v>249</v>
      </c>
      <c r="C543" t="s">
        <v>483</v>
      </c>
      <c r="D543" t="str">
        <f>IF(_xlfn.XLOOKUP(C543, ABZ!A:A, ABZ!B:B, "", 0) = 0, "", _xlfn.XLOOKUP(C543, ABZ!A:A, ABZ!B:B, "", 0))</f>
        <v>SUP-TCO-KnowledgeManagement</v>
      </c>
      <c r="E543" t="s">
        <v>834</v>
      </c>
      <c r="F543" t="s">
        <v>529</v>
      </c>
      <c r="I543">
        <f t="shared" si="24"/>
        <v>0</v>
      </c>
      <c r="J543" t="s">
        <v>875</v>
      </c>
      <c r="K543" t="s">
        <v>861</v>
      </c>
      <c r="L543" s="9">
        <v>46077</v>
      </c>
      <c r="M543" s="9">
        <v>46093</v>
      </c>
      <c r="N543" s="18">
        <f t="shared" ca="1" si="25"/>
        <v>16</v>
      </c>
      <c r="O543" s="9">
        <v>46107</v>
      </c>
      <c r="P543" s="9" t="str">
        <f t="shared" si="26"/>
        <v>✅ Ja</v>
      </c>
      <c r="Q543" t="s">
        <v>846</v>
      </c>
      <c r="S543" t="s">
        <v>840</v>
      </c>
      <c r="T543" t="s">
        <v>540</v>
      </c>
      <c r="U543" t="s">
        <v>622</v>
      </c>
    </row>
    <row r="544" spans="2:21" x14ac:dyDescent="0.25">
      <c r="B544" t="s">
        <v>249</v>
      </c>
      <c r="C544" t="s">
        <v>483</v>
      </c>
      <c r="D544" t="str">
        <f>IF(_xlfn.XLOOKUP(C544, ABZ!A:A, ABZ!B:B, "", 0) = 0, "", _xlfn.XLOOKUP(C544, ABZ!A:A, ABZ!B:B, "", 0))</f>
        <v>SUP-TCO-KnowledgeManagement</v>
      </c>
      <c r="E544" t="s">
        <v>834</v>
      </c>
      <c r="F544" t="s">
        <v>530</v>
      </c>
      <c r="I544">
        <f t="shared" si="24"/>
        <v>0</v>
      </c>
      <c r="J544" t="s">
        <v>875</v>
      </c>
      <c r="K544" t="s">
        <v>861</v>
      </c>
      <c r="L544" s="9">
        <v>46077</v>
      </c>
      <c r="M544" s="9">
        <v>46093</v>
      </c>
      <c r="N544" s="18">
        <f t="shared" ca="1" si="25"/>
        <v>16</v>
      </c>
      <c r="O544" s="9">
        <v>46107</v>
      </c>
      <c r="P544" s="9" t="str">
        <f t="shared" si="26"/>
        <v>✅ Ja</v>
      </c>
      <c r="Q544" t="s">
        <v>839</v>
      </c>
      <c r="S544" t="s">
        <v>840</v>
      </c>
      <c r="T544" t="s">
        <v>540</v>
      </c>
      <c r="U544" t="s">
        <v>622</v>
      </c>
    </row>
    <row r="545" spans="2:21" x14ac:dyDescent="0.25">
      <c r="B545" t="s">
        <v>249</v>
      </c>
      <c r="C545" t="s">
        <v>483</v>
      </c>
      <c r="D545" t="str">
        <f>IF(_xlfn.XLOOKUP(C545, ABZ!A:A, ABZ!B:B, "", 0) = 0, "", _xlfn.XLOOKUP(C545, ABZ!A:A, ABZ!B:B, "", 0))</f>
        <v>SUP-TCO-KnowledgeManagement</v>
      </c>
      <c r="E545" t="s">
        <v>834</v>
      </c>
      <c r="F545" t="s">
        <v>528</v>
      </c>
      <c r="I545">
        <f t="shared" si="24"/>
        <v>0</v>
      </c>
      <c r="J545" t="s">
        <v>875</v>
      </c>
      <c r="K545" t="s">
        <v>862</v>
      </c>
      <c r="L545" s="9">
        <v>46077</v>
      </c>
      <c r="M545" s="9"/>
      <c r="N545" s="18">
        <f t="shared" ca="1" si="25"/>
        <v>87</v>
      </c>
      <c r="O545" s="9">
        <v>46107</v>
      </c>
      <c r="P545" s="9" t="str">
        <f t="shared" si="26"/>
        <v>⏳ Offen</v>
      </c>
      <c r="Q545" t="s">
        <v>841</v>
      </c>
      <c r="S545" t="s">
        <v>840</v>
      </c>
      <c r="T545" t="s">
        <v>540</v>
      </c>
      <c r="U545" t="s">
        <v>622</v>
      </c>
    </row>
    <row r="546" spans="2:21" x14ac:dyDescent="0.25">
      <c r="B546" t="s">
        <v>249</v>
      </c>
      <c r="C546" t="s">
        <v>483</v>
      </c>
      <c r="D546" t="str">
        <f>IF(_xlfn.XLOOKUP(C546, ABZ!A:A, ABZ!B:B, "", 0) = 0, "", _xlfn.XLOOKUP(C546, ABZ!A:A, ABZ!B:B, "", 0))</f>
        <v>SUP-TCO-KnowledgeManagement</v>
      </c>
      <c r="E546" t="s">
        <v>834</v>
      </c>
      <c r="F546" t="s">
        <v>527</v>
      </c>
      <c r="I546">
        <f t="shared" si="24"/>
        <v>0</v>
      </c>
      <c r="J546" t="s">
        <v>875</v>
      </c>
      <c r="K546" t="s">
        <v>863</v>
      </c>
      <c r="L546" s="9">
        <v>46077</v>
      </c>
      <c r="M546" s="9"/>
      <c r="N546" s="18">
        <f t="shared" ca="1" si="25"/>
        <v>87</v>
      </c>
      <c r="O546" s="9">
        <v>46107</v>
      </c>
      <c r="P546" s="9" t="str">
        <f t="shared" si="26"/>
        <v>⏳ Offen</v>
      </c>
      <c r="Q546" t="s">
        <v>836</v>
      </c>
      <c r="S546" t="s">
        <v>840</v>
      </c>
      <c r="T546" t="s">
        <v>540</v>
      </c>
      <c r="U546" t="s">
        <v>622</v>
      </c>
    </row>
    <row r="547" spans="2:21" x14ac:dyDescent="0.25">
      <c r="B547" t="s">
        <v>249</v>
      </c>
      <c r="C547" t="s">
        <v>483</v>
      </c>
      <c r="D547" t="str">
        <f>IF(_xlfn.XLOOKUP(C547, ABZ!A:A, ABZ!B:B, "", 0) = 0, "", _xlfn.XLOOKUP(C547, ABZ!A:A, ABZ!B:B, "", 0))</f>
        <v>SUP-TCO-KnowledgeManagement</v>
      </c>
      <c r="E547" t="s">
        <v>834</v>
      </c>
      <c r="F547" t="s">
        <v>531</v>
      </c>
      <c r="I547">
        <f t="shared" si="24"/>
        <v>0</v>
      </c>
      <c r="J547" t="s">
        <v>875</v>
      </c>
      <c r="K547" t="s">
        <v>863</v>
      </c>
      <c r="L547" s="9">
        <v>46077</v>
      </c>
      <c r="M547" s="9"/>
      <c r="N547" s="18">
        <f t="shared" ca="1" si="25"/>
        <v>87</v>
      </c>
      <c r="O547" s="9">
        <v>46107</v>
      </c>
      <c r="P547" s="9" t="str">
        <f t="shared" si="26"/>
        <v>⏳ Offen</v>
      </c>
      <c r="Q547" t="s">
        <v>840</v>
      </c>
      <c r="S547" t="s">
        <v>840</v>
      </c>
      <c r="T547" t="s">
        <v>540</v>
      </c>
      <c r="U547" t="s">
        <v>622</v>
      </c>
    </row>
    <row r="548" spans="2:21" x14ac:dyDescent="0.25">
      <c r="B548" t="s">
        <v>249</v>
      </c>
      <c r="C548" t="s">
        <v>483</v>
      </c>
      <c r="D548" t="str">
        <f>IF(_xlfn.XLOOKUP(C548, ABZ!A:A, ABZ!B:B, "", 0) = 0, "", _xlfn.XLOOKUP(C548, ABZ!A:A, ABZ!B:B, "", 0))</f>
        <v>SUP-TCO-KnowledgeManagement</v>
      </c>
      <c r="E548" t="s">
        <v>834</v>
      </c>
      <c r="F548" t="s">
        <v>535</v>
      </c>
      <c r="I548">
        <f t="shared" si="24"/>
        <v>0</v>
      </c>
      <c r="J548" t="s">
        <v>875</v>
      </c>
      <c r="K548" t="s">
        <v>863</v>
      </c>
      <c r="L548" s="9">
        <v>46078</v>
      </c>
      <c r="M548" s="9"/>
      <c r="N548" s="18">
        <f t="shared" ca="1" si="25"/>
        <v>86</v>
      </c>
      <c r="O548" s="9">
        <v>46107</v>
      </c>
      <c r="P548" s="9" t="str">
        <f t="shared" si="26"/>
        <v>⏳ Offen</v>
      </c>
      <c r="Q548" t="s">
        <v>842</v>
      </c>
      <c r="S548" t="s">
        <v>840</v>
      </c>
      <c r="T548" t="s">
        <v>540</v>
      </c>
      <c r="U548" t="s">
        <v>622</v>
      </c>
    </row>
    <row r="549" spans="2:21" x14ac:dyDescent="0.25">
      <c r="B549" t="s">
        <v>250</v>
      </c>
      <c r="C549" t="s">
        <v>457</v>
      </c>
      <c r="D549" t="str">
        <f>IF(_xlfn.XLOOKUP(C549, ABZ!A:A, ABZ!B:B, "", 0) = 0, "", _xlfn.XLOOKUP(C549, ABZ!A:A, ABZ!B:B, "", 0))</f>
        <v>VTR-CS-SER-PartnerCommunication</v>
      </c>
      <c r="E549" t="s">
        <v>834</v>
      </c>
      <c r="F549" t="s">
        <v>528</v>
      </c>
      <c r="I549">
        <f t="shared" si="24"/>
        <v>0</v>
      </c>
      <c r="J549" t="s">
        <v>875</v>
      </c>
      <c r="K549" t="s">
        <v>863</v>
      </c>
      <c r="L549" s="9">
        <v>46078</v>
      </c>
      <c r="M549" s="9">
        <v>46084</v>
      </c>
      <c r="N549" s="18">
        <f t="shared" ca="1" si="25"/>
        <v>6</v>
      </c>
      <c r="O549" s="9">
        <v>46084</v>
      </c>
      <c r="P549" s="9" t="str">
        <f t="shared" si="26"/>
        <v>✅ Ja</v>
      </c>
      <c r="Q549" t="s">
        <v>847</v>
      </c>
      <c r="R549" t="s">
        <v>841</v>
      </c>
      <c r="S549" t="s">
        <v>839</v>
      </c>
      <c r="T549" t="s">
        <v>540</v>
      </c>
      <c r="U549" t="s">
        <v>591</v>
      </c>
    </row>
    <row r="550" spans="2:21" x14ac:dyDescent="0.25">
      <c r="B550" t="s">
        <v>250</v>
      </c>
      <c r="C550" t="s">
        <v>457</v>
      </c>
      <c r="D550" t="str">
        <f>IF(_xlfn.XLOOKUP(C550, ABZ!A:A, ABZ!B:B, "", 0) = 0, "", _xlfn.XLOOKUP(C550, ABZ!A:A, ABZ!B:B, "", 0))</f>
        <v>VTR-CS-SER-PartnerCommunication</v>
      </c>
      <c r="E550" t="s">
        <v>834</v>
      </c>
      <c r="F550" t="s">
        <v>527</v>
      </c>
      <c r="I550">
        <f t="shared" si="24"/>
        <v>0</v>
      </c>
      <c r="J550" t="s">
        <v>875</v>
      </c>
      <c r="K550" t="s">
        <v>863</v>
      </c>
      <c r="L550" s="9">
        <v>46078</v>
      </c>
      <c r="M550" s="9">
        <v>46084</v>
      </c>
      <c r="N550" s="18">
        <f t="shared" ca="1" si="25"/>
        <v>6</v>
      </c>
      <c r="O550" s="9">
        <v>46084</v>
      </c>
      <c r="P550" s="9" t="str">
        <f t="shared" si="26"/>
        <v>✅ Ja</v>
      </c>
      <c r="Q550" t="s">
        <v>836</v>
      </c>
      <c r="S550" t="s">
        <v>839</v>
      </c>
      <c r="T550" t="s">
        <v>540</v>
      </c>
      <c r="U550" t="s">
        <v>591</v>
      </c>
    </row>
    <row r="551" spans="2:21" x14ac:dyDescent="0.25">
      <c r="B551" t="s">
        <v>250</v>
      </c>
      <c r="C551" t="s">
        <v>457</v>
      </c>
      <c r="D551" t="str">
        <f>IF(_xlfn.XLOOKUP(C551, ABZ!A:A, ABZ!B:B, "", 0) = 0, "", _xlfn.XLOOKUP(C551, ABZ!A:A, ABZ!B:B, "", 0))</f>
        <v>VTR-CS-SER-PartnerCommunication</v>
      </c>
      <c r="E551" t="s">
        <v>834</v>
      </c>
      <c r="F551" t="s">
        <v>530</v>
      </c>
      <c r="I551">
        <f t="shared" si="24"/>
        <v>0</v>
      </c>
      <c r="J551" t="s">
        <v>875</v>
      </c>
      <c r="K551" t="s">
        <v>863</v>
      </c>
      <c r="L551" s="9">
        <v>46078</v>
      </c>
      <c r="M551" s="9">
        <v>46084</v>
      </c>
      <c r="N551" s="18">
        <f t="shared" ca="1" si="25"/>
        <v>6</v>
      </c>
      <c r="O551" s="9">
        <v>46084</v>
      </c>
      <c r="P551" s="9" t="str">
        <f t="shared" si="26"/>
        <v>✅ Ja</v>
      </c>
      <c r="Q551" t="s">
        <v>844</v>
      </c>
      <c r="R551" t="s">
        <v>839</v>
      </c>
      <c r="S551" t="s">
        <v>839</v>
      </c>
      <c r="T551" t="s">
        <v>540</v>
      </c>
      <c r="U551" t="s">
        <v>591</v>
      </c>
    </row>
    <row r="552" spans="2:21" x14ac:dyDescent="0.25">
      <c r="B552" t="s">
        <v>251</v>
      </c>
      <c r="C552" t="s">
        <v>465</v>
      </c>
      <c r="D552" t="str">
        <f>IF(_xlfn.XLOOKUP(C552, ABZ!A:A, ABZ!B:B, "", 0) = 0, "", _xlfn.XLOOKUP(C552, ABZ!A:A, ABZ!B:B, "", 0))</f>
        <v>KOM-Marketing</v>
      </c>
      <c r="E552" t="s">
        <v>835</v>
      </c>
      <c r="F552" t="s">
        <v>532</v>
      </c>
      <c r="H552">
        <v>1</v>
      </c>
      <c r="I552">
        <f t="shared" si="24"/>
        <v>1</v>
      </c>
      <c r="L552" s="9">
        <v>46078</v>
      </c>
      <c r="M552" s="9">
        <v>46078</v>
      </c>
      <c r="N552" s="18">
        <f t="shared" ca="1" si="25"/>
        <v>0</v>
      </c>
      <c r="O552" s="9">
        <v>46078</v>
      </c>
      <c r="P552" s="9" t="str">
        <f t="shared" si="26"/>
        <v>✅ Ja</v>
      </c>
      <c r="Q552" t="s">
        <v>838</v>
      </c>
      <c r="S552" t="s">
        <v>840</v>
      </c>
      <c r="T552" t="s">
        <v>540</v>
      </c>
      <c r="U552" t="s">
        <v>591</v>
      </c>
    </row>
    <row r="553" spans="2:21" x14ac:dyDescent="0.25">
      <c r="B553" t="s">
        <v>251</v>
      </c>
      <c r="C553" t="s">
        <v>465</v>
      </c>
      <c r="D553" t="str">
        <f>IF(_xlfn.XLOOKUP(C553, ABZ!A:A, ABZ!B:B, "", 0) = 0, "", _xlfn.XLOOKUP(C553, ABZ!A:A, ABZ!B:B, "", 0))</f>
        <v>KOM-Marketing</v>
      </c>
      <c r="E553" t="s">
        <v>834</v>
      </c>
      <c r="F553" t="s">
        <v>529</v>
      </c>
      <c r="I553">
        <f t="shared" si="24"/>
        <v>1</v>
      </c>
      <c r="L553" s="9">
        <v>46078</v>
      </c>
      <c r="M553" s="9">
        <v>46079</v>
      </c>
      <c r="N553" s="18">
        <f t="shared" ca="1" si="25"/>
        <v>1</v>
      </c>
      <c r="O553" s="9">
        <v>46079</v>
      </c>
      <c r="P553" s="9" t="str">
        <f t="shared" si="26"/>
        <v>✅ Ja</v>
      </c>
      <c r="Q553" t="s">
        <v>846</v>
      </c>
      <c r="S553" t="s">
        <v>840</v>
      </c>
      <c r="T553" t="s">
        <v>540</v>
      </c>
      <c r="U553" t="s">
        <v>591</v>
      </c>
    </row>
    <row r="554" spans="2:21" x14ac:dyDescent="0.25">
      <c r="B554" t="s">
        <v>244</v>
      </c>
      <c r="C554" t="s">
        <v>472</v>
      </c>
      <c r="D554" t="str">
        <f>IF(_xlfn.XLOOKUP(C554, ABZ!A:A, ABZ!B:B, "", 0) = 0, "", _xlfn.XLOOKUP(C554, ABZ!A:A, ABZ!B:B, "", 0))</f>
        <v>D2C-MarketingContent</v>
      </c>
      <c r="E554" t="s">
        <v>834</v>
      </c>
      <c r="F554" t="s">
        <v>529</v>
      </c>
      <c r="I554">
        <f t="shared" si="24"/>
        <v>0</v>
      </c>
      <c r="L554" s="9">
        <v>46077</v>
      </c>
      <c r="M554" s="9">
        <v>46080</v>
      </c>
      <c r="N554" s="18">
        <f t="shared" ca="1" si="25"/>
        <v>3</v>
      </c>
      <c r="O554" s="9">
        <v>46080</v>
      </c>
      <c r="P554" s="9" t="str">
        <f t="shared" si="26"/>
        <v>✅ Ja</v>
      </c>
      <c r="Q554" t="s">
        <v>846</v>
      </c>
      <c r="S554" t="s">
        <v>841</v>
      </c>
      <c r="T554" t="s">
        <v>540</v>
      </c>
      <c r="U554" t="s">
        <v>593</v>
      </c>
    </row>
    <row r="555" spans="2:21" x14ac:dyDescent="0.25">
      <c r="B555" t="s">
        <v>244</v>
      </c>
      <c r="C555" t="s">
        <v>472</v>
      </c>
      <c r="D555" t="str">
        <f>IF(_xlfn.XLOOKUP(C555, ABZ!A:A, ABZ!B:B, "", 0) = 0, "", _xlfn.XLOOKUP(C555, ABZ!A:A, ABZ!B:B, "", 0))</f>
        <v>D2C-MarketingContent</v>
      </c>
      <c r="E555" t="s">
        <v>834</v>
      </c>
      <c r="F555" t="s">
        <v>530</v>
      </c>
      <c r="I555">
        <f t="shared" si="24"/>
        <v>0</v>
      </c>
      <c r="J555" t="s">
        <v>875</v>
      </c>
      <c r="K555" t="s">
        <v>864</v>
      </c>
      <c r="L555" s="9">
        <v>46077</v>
      </c>
      <c r="M555" s="9">
        <v>46080</v>
      </c>
      <c r="N555" s="18">
        <f t="shared" ca="1" si="25"/>
        <v>3</v>
      </c>
      <c r="O555" s="9">
        <v>46080</v>
      </c>
      <c r="P555" s="9" t="str">
        <f t="shared" si="26"/>
        <v>✅ Ja</v>
      </c>
      <c r="Q555" t="s">
        <v>844</v>
      </c>
      <c r="S555" t="s">
        <v>841</v>
      </c>
      <c r="T555" t="s">
        <v>540</v>
      </c>
      <c r="U555" t="s">
        <v>593</v>
      </c>
    </row>
    <row r="556" spans="2:21" x14ac:dyDescent="0.25">
      <c r="B556" t="s">
        <v>244</v>
      </c>
      <c r="C556" t="s">
        <v>472</v>
      </c>
      <c r="D556" t="str">
        <f>IF(_xlfn.XLOOKUP(C556, ABZ!A:A, ABZ!B:B, "", 0) = 0, "", _xlfn.XLOOKUP(C556, ABZ!A:A, ABZ!B:B, "", 0))</f>
        <v>D2C-MarketingContent</v>
      </c>
      <c r="E556" t="s">
        <v>834</v>
      </c>
      <c r="F556" t="s">
        <v>531</v>
      </c>
      <c r="I556">
        <f t="shared" si="24"/>
        <v>0</v>
      </c>
      <c r="J556" t="s">
        <v>875</v>
      </c>
      <c r="K556" t="s">
        <v>864</v>
      </c>
      <c r="L556" s="9">
        <v>46077</v>
      </c>
      <c r="M556" s="9">
        <v>46080</v>
      </c>
      <c r="N556" s="18">
        <f t="shared" ca="1" si="25"/>
        <v>3</v>
      </c>
      <c r="O556" s="9">
        <v>46080</v>
      </c>
      <c r="P556" s="9" t="str">
        <f t="shared" si="26"/>
        <v>✅ Ja</v>
      </c>
      <c r="Q556" t="s">
        <v>843</v>
      </c>
      <c r="S556" t="s">
        <v>841</v>
      </c>
      <c r="T556" t="s">
        <v>540</v>
      </c>
      <c r="U556" t="s">
        <v>593</v>
      </c>
    </row>
    <row r="557" spans="2:21" x14ac:dyDescent="0.25">
      <c r="B557" t="s">
        <v>244</v>
      </c>
      <c r="C557" t="s">
        <v>472</v>
      </c>
      <c r="D557" t="str">
        <f>IF(_xlfn.XLOOKUP(C557, ABZ!A:A, ABZ!B:B, "", 0) = 0, "", _xlfn.XLOOKUP(C557, ABZ!A:A, ABZ!B:B, "", 0))</f>
        <v>D2C-MarketingContent</v>
      </c>
      <c r="E557" t="s">
        <v>834</v>
      </c>
      <c r="F557" t="s">
        <v>528</v>
      </c>
      <c r="I557">
        <f t="shared" si="24"/>
        <v>0</v>
      </c>
      <c r="L557" s="9">
        <v>46077</v>
      </c>
      <c r="M557" s="9">
        <v>46080</v>
      </c>
      <c r="N557" s="18">
        <f t="shared" ca="1" si="25"/>
        <v>3</v>
      </c>
      <c r="O557" s="9">
        <v>46080</v>
      </c>
      <c r="P557" s="9" t="str">
        <f t="shared" si="26"/>
        <v>✅ Ja</v>
      </c>
      <c r="Q557" t="s">
        <v>847</v>
      </c>
      <c r="R557" t="s">
        <v>841</v>
      </c>
      <c r="S557" t="s">
        <v>841</v>
      </c>
      <c r="T557" t="s">
        <v>540</v>
      </c>
      <c r="U557" t="s">
        <v>593</v>
      </c>
    </row>
    <row r="558" spans="2:21" x14ac:dyDescent="0.25">
      <c r="B558" t="s">
        <v>244</v>
      </c>
      <c r="C558" t="s">
        <v>472</v>
      </c>
      <c r="D558" t="str">
        <f>IF(_xlfn.XLOOKUP(C558, ABZ!A:A, ABZ!B:B, "", 0) = 0, "", _xlfn.XLOOKUP(C558, ABZ!A:A, ABZ!B:B, "", 0))</f>
        <v>D2C-MarketingContent</v>
      </c>
      <c r="E558" t="s">
        <v>834</v>
      </c>
      <c r="F558" t="s">
        <v>527</v>
      </c>
      <c r="I558">
        <f t="shared" si="24"/>
        <v>0</v>
      </c>
      <c r="L558" s="9">
        <v>46077</v>
      </c>
      <c r="M558" s="9">
        <v>46080</v>
      </c>
      <c r="N558" s="18">
        <f t="shared" ca="1" si="25"/>
        <v>3</v>
      </c>
      <c r="O558" s="9">
        <v>46080</v>
      </c>
      <c r="P558" s="9" t="str">
        <f t="shared" si="26"/>
        <v>✅ Ja</v>
      </c>
      <c r="Q558" t="s">
        <v>836</v>
      </c>
      <c r="S558" t="s">
        <v>841</v>
      </c>
      <c r="T558" t="s">
        <v>540</v>
      </c>
      <c r="U558" t="s">
        <v>593</v>
      </c>
    </row>
    <row r="559" spans="2:21" x14ac:dyDescent="0.25">
      <c r="B559" t="s">
        <v>244</v>
      </c>
      <c r="C559" t="s">
        <v>472</v>
      </c>
      <c r="D559" t="str">
        <f>IF(_xlfn.XLOOKUP(C559, ABZ!A:A, ABZ!B:B, "", 0) = 0, "", _xlfn.XLOOKUP(C559, ABZ!A:A, ABZ!B:B, "", 0))</f>
        <v>D2C-MarketingContent</v>
      </c>
      <c r="E559" t="s">
        <v>834</v>
      </c>
      <c r="F559" t="s">
        <v>535</v>
      </c>
      <c r="I559">
        <f t="shared" si="24"/>
        <v>0</v>
      </c>
      <c r="L559" s="9">
        <v>46077</v>
      </c>
      <c r="M559" s="9">
        <v>46080</v>
      </c>
      <c r="N559" s="18">
        <f t="shared" ca="1" si="25"/>
        <v>3</v>
      </c>
      <c r="O559" s="9">
        <v>46080</v>
      </c>
      <c r="P559" s="9" t="str">
        <f t="shared" si="26"/>
        <v>✅ Ja</v>
      </c>
      <c r="Q559" t="s">
        <v>842</v>
      </c>
      <c r="S559" t="s">
        <v>841</v>
      </c>
      <c r="T559" t="s">
        <v>540</v>
      </c>
      <c r="U559" t="s">
        <v>632</v>
      </c>
    </row>
    <row r="560" spans="2:21" x14ac:dyDescent="0.25">
      <c r="B560" t="s">
        <v>252</v>
      </c>
      <c r="C560" t="s">
        <v>457</v>
      </c>
      <c r="D560" t="str">
        <f>IF(_xlfn.XLOOKUP(C560, ABZ!A:A, ABZ!B:B, "", 0) = 0, "", _xlfn.XLOOKUP(C560, ABZ!A:A, ABZ!B:B, "", 0))</f>
        <v>VTR-CS-SER-PartnerCommunication</v>
      </c>
      <c r="E560" t="s">
        <v>834</v>
      </c>
      <c r="F560" t="s">
        <v>527</v>
      </c>
      <c r="I560">
        <f t="shared" si="24"/>
        <v>0</v>
      </c>
      <c r="L560" s="9">
        <v>46079</v>
      </c>
      <c r="M560" s="9">
        <v>46083</v>
      </c>
      <c r="N560" s="18">
        <f t="shared" ca="1" si="25"/>
        <v>4</v>
      </c>
      <c r="O560" s="9">
        <v>46084</v>
      </c>
      <c r="P560" s="9" t="str">
        <f t="shared" si="26"/>
        <v>✅ Ja</v>
      </c>
      <c r="Q560" t="s">
        <v>836</v>
      </c>
      <c r="S560" t="s">
        <v>839</v>
      </c>
      <c r="T560" t="s">
        <v>540</v>
      </c>
      <c r="U560" t="s">
        <v>591</v>
      </c>
    </row>
    <row r="561" spans="2:22" x14ac:dyDescent="0.25">
      <c r="B561" t="s">
        <v>253</v>
      </c>
      <c r="C561" t="s">
        <v>457</v>
      </c>
      <c r="D561" t="str">
        <f>IF(_xlfn.XLOOKUP(C561, ABZ!A:A, ABZ!B:B, "", 0) = 0, "", _xlfn.XLOOKUP(C561, ABZ!A:A, ABZ!B:B, "", 0))</f>
        <v>VTR-CS-SER-PartnerCommunication</v>
      </c>
      <c r="E561" t="s">
        <v>834</v>
      </c>
      <c r="F561" t="s">
        <v>528</v>
      </c>
      <c r="I561">
        <f t="shared" si="24"/>
        <v>0</v>
      </c>
      <c r="L561" s="9">
        <v>46079</v>
      </c>
      <c r="M561" s="9">
        <v>46083</v>
      </c>
      <c r="N561" s="18">
        <f t="shared" ca="1" si="25"/>
        <v>4</v>
      </c>
      <c r="O561" s="9">
        <v>46084</v>
      </c>
      <c r="P561" s="9" t="str">
        <f t="shared" si="26"/>
        <v>✅ Ja</v>
      </c>
      <c r="Q561" t="s">
        <v>847</v>
      </c>
      <c r="R561" t="s">
        <v>841</v>
      </c>
      <c r="S561" t="s">
        <v>839</v>
      </c>
      <c r="T561" t="s">
        <v>540</v>
      </c>
      <c r="U561" t="s">
        <v>595</v>
      </c>
    </row>
    <row r="562" spans="2:22" x14ac:dyDescent="0.25">
      <c r="B562" t="s">
        <v>254</v>
      </c>
      <c r="C562" t="s">
        <v>483</v>
      </c>
      <c r="D562" t="str">
        <f>IF(_xlfn.XLOOKUP(C562, ABZ!A:A, ABZ!B:B, "", 0) = 0, "", _xlfn.XLOOKUP(C562, ABZ!A:A, ABZ!B:B, "", 0))</f>
        <v>SUP-TCO-KnowledgeManagement</v>
      </c>
      <c r="E562" t="s">
        <v>834</v>
      </c>
      <c r="F562" t="s">
        <v>538</v>
      </c>
      <c r="I562">
        <f t="shared" si="24"/>
        <v>0</v>
      </c>
      <c r="L562" s="9">
        <v>46079</v>
      </c>
      <c r="M562" s="9"/>
      <c r="N562" s="18">
        <f t="shared" ca="1" si="25"/>
        <v>85</v>
      </c>
      <c r="O562" s="9">
        <v>46106</v>
      </c>
      <c r="P562" s="9" t="str">
        <f t="shared" si="26"/>
        <v>⏳ Offen</v>
      </c>
      <c r="Q562" t="s">
        <v>842</v>
      </c>
      <c r="S562" t="s">
        <v>840</v>
      </c>
      <c r="T562" t="s">
        <v>540</v>
      </c>
      <c r="U562" t="s">
        <v>622</v>
      </c>
    </row>
    <row r="563" spans="2:22" x14ac:dyDescent="0.25">
      <c r="B563" t="s">
        <v>255</v>
      </c>
      <c r="C563" t="s">
        <v>483</v>
      </c>
      <c r="D563" t="str">
        <f>IF(_xlfn.XLOOKUP(C563, ABZ!A:A, ABZ!B:B, "", 0) = 0, "", _xlfn.XLOOKUP(C563, ABZ!A:A, ABZ!B:B, "", 0))</f>
        <v>SUP-TCO-KnowledgeManagement</v>
      </c>
      <c r="E563" t="s">
        <v>834</v>
      </c>
      <c r="F563" t="s">
        <v>538</v>
      </c>
      <c r="I563">
        <f t="shared" si="24"/>
        <v>0</v>
      </c>
      <c r="L563" s="9">
        <v>46079</v>
      </c>
      <c r="M563" s="9"/>
      <c r="N563" s="18">
        <f t="shared" ca="1" si="25"/>
        <v>85</v>
      </c>
      <c r="O563" s="9">
        <v>46106</v>
      </c>
      <c r="P563" s="9" t="str">
        <f t="shared" si="26"/>
        <v>⏳ Offen</v>
      </c>
      <c r="Q563" t="s">
        <v>842</v>
      </c>
      <c r="S563" t="s">
        <v>840</v>
      </c>
      <c r="T563" t="s">
        <v>540</v>
      </c>
      <c r="U563" t="s">
        <v>622</v>
      </c>
    </row>
    <row r="564" spans="2:22" x14ac:dyDescent="0.25">
      <c r="B564" t="s">
        <v>256</v>
      </c>
      <c r="C564" t="s">
        <v>508</v>
      </c>
      <c r="D564" t="str">
        <f>IF(_xlfn.XLOOKUP(C564, ABZ!A:A, ABZ!B:B, "", 0) = 0, "", _xlfn.XLOOKUP(C564, ABZ!A:A, ABZ!B:B, "", 0))</f>
        <v>SUP-TCO-KnowledgeManagement</v>
      </c>
      <c r="E564" t="s">
        <v>834</v>
      </c>
      <c r="F564" t="s">
        <v>529</v>
      </c>
      <c r="I564">
        <f t="shared" si="24"/>
        <v>0</v>
      </c>
      <c r="L564" s="9">
        <v>46079</v>
      </c>
      <c r="M564" s="9">
        <v>46093</v>
      </c>
      <c r="N564" s="18">
        <f t="shared" ca="1" si="25"/>
        <v>14</v>
      </c>
      <c r="O564" s="9">
        <v>46098</v>
      </c>
      <c r="P564" s="9" t="str">
        <f t="shared" si="26"/>
        <v>✅ Ja</v>
      </c>
      <c r="Q564" t="s">
        <v>846</v>
      </c>
      <c r="S564" t="s">
        <v>840</v>
      </c>
      <c r="T564" t="s">
        <v>540</v>
      </c>
      <c r="U564" t="s">
        <v>622</v>
      </c>
    </row>
    <row r="565" spans="2:22" x14ac:dyDescent="0.25">
      <c r="B565" t="s">
        <v>257</v>
      </c>
      <c r="C565" t="s">
        <v>508</v>
      </c>
      <c r="D565" t="str">
        <f>IF(_xlfn.XLOOKUP(C565, ABZ!A:A, ABZ!B:B, "", 0) = 0, "", _xlfn.XLOOKUP(C565, ABZ!A:A, ABZ!B:B, "", 0))</f>
        <v>SUP-TCO-KnowledgeManagement</v>
      </c>
      <c r="E565" t="s">
        <v>834</v>
      </c>
      <c r="F565" t="s">
        <v>527</v>
      </c>
      <c r="I565">
        <f t="shared" si="24"/>
        <v>0</v>
      </c>
      <c r="L565" s="9">
        <v>46079</v>
      </c>
      <c r="M565" s="9"/>
      <c r="N565" s="18">
        <f t="shared" ca="1" si="25"/>
        <v>85</v>
      </c>
      <c r="O565" s="9">
        <v>46098</v>
      </c>
      <c r="P565" s="9" t="str">
        <f t="shared" si="26"/>
        <v>⏳ Offen</v>
      </c>
      <c r="Q565" t="s">
        <v>836</v>
      </c>
      <c r="S565" t="s">
        <v>840</v>
      </c>
      <c r="T565" t="s">
        <v>540</v>
      </c>
      <c r="U565" t="s">
        <v>622</v>
      </c>
    </row>
    <row r="566" spans="2:22" x14ac:dyDescent="0.25">
      <c r="B566" t="s">
        <v>258</v>
      </c>
      <c r="C566" t="s">
        <v>483</v>
      </c>
      <c r="D566" t="str">
        <f>IF(_xlfn.XLOOKUP(C566, ABZ!A:A, ABZ!B:B, "", 0) = 0, "", _xlfn.XLOOKUP(C566, ABZ!A:A, ABZ!B:B, "", 0))</f>
        <v>SUP-TCO-KnowledgeManagement</v>
      </c>
      <c r="E566" t="s">
        <v>834</v>
      </c>
      <c r="F566" t="s">
        <v>528</v>
      </c>
      <c r="I566">
        <f t="shared" si="24"/>
        <v>0</v>
      </c>
      <c r="L566" s="9">
        <v>46079</v>
      </c>
      <c r="M566" s="9">
        <v>46091</v>
      </c>
      <c r="N566" s="18">
        <f t="shared" ca="1" si="25"/>
        <v>12</v>
      </c>
      <c r="O566" s="9">
        <v>46098</v>
      </c>
      <c r="P566" s="9" t="str">
        <f t="shared" si="26"/>
        <v>✅ Ja</v>
      </c>
      <c r="Q566" t="s">
        <v>841</v>
      </c>
      <c r="S566" t="s">
        <v>840</v>
      </c>
      <c r="T566" t="s">
        <v>540</v>
      </c>
      <c r="U566" t="s">
        <v>622</v>
      </c>
    </row>
    <row r="567" spans="2:22" x14ac:dyDescent="0.25">
      <c r="B567" t="s">
        <v>259</v>
      </c>
      <c r="C567" t="s">
        <v>483</v>
      </c>
      <c r="D567" t="str">
        <f>IF(_xlfn.XLOOKUP(C567, ABZ!A:A, ABZ!B:B, "", 0) = 0, "", _xlfn.XLOOKUP(C567, ABZ!A:A, ABZ!B:B, "", 0))</f>
        <v>SUP-TCO-KnowledgeManagement</v>
      </c>
      <c r="E567" t="s">
        <v>834</v>
      </c>
      <c r="F567" t="s">
        <v>530</v>
      </c>
      <c r="I567">
        <f t="shared" si="24"/>
        <v>0</v>
      </c>
      <c r="L567" s="9">
        <v>46079</v>
      </c>
      <c r="M567" s="9">
        <v>46098</v>
      </c>
      <c r="N567" s="18">
        <f t="shared" ca="1" si="25"/>
        <v>19</v>
      </c>
      <c r="O567" s="9">
        <v>46098</v>
      </c>
      <c r="P567" s="9" t="str">
        <f t="shared" si="26"/>
        <v>✅ Ja</v>
      </c>
      <c r="Q567" t="s">
        <v>839</v>
      </c>
      <c r="S567" t="s">
        <v>840</v>
      </c>
      <c r="T567" t="s">
        <v>540</v>
      </c>
      <c r="U567" t="s">
        <v>622</v>
      </c>
    </row>
    <row r="568" spans="2:22" x14ac:dyDescent="0.25">
      <c r="B568" t="s">
        <v>260</v>
      </c>
      <c r="C568" t="s">
        <v>483</v>
      </c>
      <c r="D568" t="str">
        <f>IF(_xlfn.XLOOKUP(C568, ABZ!A:A, ABZ!B:B, "", 0) = 0, "", _xlfn.XLOOKUP(C568, ABZ!A:A, ABZ!B:B, "", 0))</f>
        <v>SUP-TCO-KnowledgeManagement</v>
      </c>
      <c r="E568" t="s">
        <v>834</v>
      </c>
      <c r="F568" t="s">
        <v>531</v>
      </c>
      <c r="I568">
        <f t="shared" si="24"/>
        <v>0</v>
      </c>
      <c r="L568" s="9">
        <v>46079</v>
      </c>
      <c r="M568" s="9"/>
      <c r="N568" s="18">
        <f t="shared" ca="1" si="25"/>
        <v>85</v>
      </c>
      <c r="O568" s="9">
        <v>46098</v>
      </c>
      <c r="P568" s="9" t="str">
        <f t="shared" si="26"/>
        <v>⏳ Offen</v>
      </c>
      <c r="Q568" t="s">
        <v>840</v>
      </c>
      <c r="S568" t="s">
        <v>840</v>
      </c>
      <c r="T568" t="s">
        <v>540</v>
      </c>
      <c r="U568" t="s">
        <v>622</v>
      </c>
    </row>
    <row r="569" spans="2:22" x14ac:dyDescent="0.25">
      <c r="B569" t="s">
        <v>261</v>
      </c>
      <c r="C569" t="s">
        <v>483</v>
      </c>
      <c r="D569" t="str">
        <f>IF(_xlfn.XLOOKUP(C569, ABZ!A:A, ABZ!B:B, "", 0) = 0, "", _xlfn.XLOOKUP(C569, ABZ!A:A, ABZ!B:B, "", 0))</f>
        <v>SUP-TCO-KnowledgeManagement</v>
      </c>
      <c r="E569" t="s">
        <v>834</v>
      </c>
      <c r="F569" t="s">
        <v>529</v>
      </c>
      <c r="I569">
        <f t="shared" si="24"/>
        <v>0</v>
      </c>
      <c r="J569" t="s">
        <v>873</v>
      </c>
      <c r="K569">
        <v>110869</v>
      </c>
      <c r="L569" s="9">
        <v>46079</v>
      </c>
      <c r="M569" s="9">
        <v>46092</v>
      </c>
      <c r="N569" s="18">
        <f t="shared" ca="1" si="25"/>
        <v>13</v>
      </c>
      <c r="O569" s="9">
        <v>46098</v>
      </c>
      <c r="P569" s="9" t="str">
        <f t="shared" si="26"/>
        <v>✅ Ja</v>
      </c>
      <c r="Q569" t="s">
        <v>846</v>
      </c>
      <c r="S569" t="s">
        <v>840</v>
      </c>
      <c r="T569" t="s">
        <v>540</v>
      </c>
      <c r="U569" t="s">
        <v>622</v>
      </c>
    </row>
    <row r="570" spans="2:22" x14ac:dyDescent="0.25">
      <c r="B570" t="s">
        <v>262</v>
      </c>
      <c r="C570" t="s">
        <v>483</v>
      </c>
      <c r="D570" t="str">
        <f>IF(_xlfn.XLOOKUP(C570, ABZ!A:A, ABZ!B:B, "", 0) = 0, "", _xlfn.XLOOKUP(C570, ABZ!A:A, ABZ!B:B, "", 0))</f>
        <v>SUP-TCO-KnowledgeManagement</v>
      </c>
      <c r="E570" t="s">
        <v>834</v>
      </c>
      <c r="F570" t="s">
        <v>529</v>
      </c>
      <c r="I570">
        <f t="shared" si="24"/>
        <v>0</v>
      </c>
      <c r="J570" t="s">
        <v>873</v>
      </c>
      <c r="K570">
        <v>110869</v>
      </c>
      <c r="L570" s="9">
        <v>46079</v>
      </c>
      <c r="M570" s="9">
        <v>46092</v>
      </c>
      <c r="N570" s="18">
        <f t="shared" ca="1" si="25"/>
        <v>13</v>
      </c>
      <c r="O570" s="9">
        <v>46098</v>
      </c>
      <c r="P570" s="9" t="str">
        <f t="shared" si="26"/>
        <v>✅ Ja</v>
      </c>
      <c r="Q570" t="s">
        <v>846</v>
      </c>
      <c r="S570" t="s">
        <v>840</v>
      </c>
      <c r="T570" t="s">
        <v>540</v>
      </c>
      <c r="U570" t="s">
        <v>622</v>
      </c>
    </row>
    <row r="571" spans="2:22" x14ac:dyDescent="0.25">
      <c r="B571" t="s">
        <v>263</v>
      </c>
      <c r="C571" t="s">
        <v>483</v>
      </c>
      <c r="D571" t="str">
        <f>IF(_xlfn.XLOOKUP(C571, ABZ!A:A, ABZ!B:B, "", 0) = 0, "", _xlfn.XLOOKUP(C571, ABZ!A:A, ABZ!B:B, "", 0))</f>
        <v>SUP-TCO-KnowledgeManagement</v>
      </c>
      <c r="E571" t="s">
        <v>834</v>
      </c>
      <c r="F571" t="s">
        <v>527</v>
      </c>
      <c r="I571">
        <f t="shared" si="24"/>
        <v>0</v>
      </c>
      <c r="J571" t="s">
        <v>873</v>
      </c>
      <c r="K571">
        <v>110869</v>
      </c>
      <c r="L571" s="9">
        <v>46079</v>
      </c>
      <c r="M571" s="9"/>
      <c r="N571" s="18">
        <f t="shared" ca="1" si="25"/>
        <v>85</v>
      </c>
      <c r="O571" s="9"/>
      <c r="P571" s="9" t="str">
        <f t="shared" si="26"/>
        <v>⏳ Offen</v>
      </c>
      <c r="Q571" t="s">
        <v>836</v>
      </c>
      <c r="S571" t="s">
        <v>840</v>
      </c>
      <c r="T571" t="s">
        <v>540</v>
      </c>
      <c r="U571" t="s">
        <v>622</v>
      </c>
      <c r="V571" t="s">
        <v>699</v>
      </c>
    </row>
    <row r="572" spans="2:22" x14ac:dyDescent="0.25">
      <c r="B572" t="s">
        <v>264</v>
      </c>
      <c r="C572" t="s">
        <v>483</v>
      </c>
      <c r="D572" t="str">
        <f>IF(_xlfn.XLOOKUP(C572, ABZ!A:A, ABZ!B:B, "", 0) = 0, "", _xlfn.XLOOKUP(C572, ABZ!A:A, ABZ!B:B, "", 0))</f>
        <v>SUP-TCO-KnowledgeManagement</v>
      </c>
      <c r="E572" t="s">
        <v>834</v>
      </c>
      <c r="F572" t="s">
        <v>528</v>
      </c>
      <c r="I572">
        <f t="shared" si="24"/>
        <v>0</v>
      </c>
      <c r="J572" t="s">
        <v>873</v>
      </c>
      <c r="K572">
        <v>110869</v>
      </c>
      <c r="L572" s="9">
        <v>46079</v>
      </c>
      <c r="M572" s="9"/>
      <c r="N572" s="18">
        <f t="shared" ca="1" si="25"/>
        <v>85</v>
      </c>
      <c r="O572" s="9"/>
      <c r="P572" s="9" t="str">
        <f t="shared" si="26"/>
        <v>⏳ Offen</v>
      </c>
      <c r="Q572" t="s">
        <v>841</v>
      </c>
      <c r="S572" t="s">
        <v>840</v>
      </c>
      <c r="T572" t="s">
        <v>540</v>
      </c>
      <c r="U572" t="s">
        <v>622</v>
      </c>
      <c r="V572" t="s">
        <v>699</v>
      </c>
    </row>
    <row r="573" spans="2:22" x14ac:dyDescent="0.25">
      <c r="B573" t="s">
        <v>265</v>
      </c>
      <c r="C573" t="s">
        <v>508</v>
      </c>
      <c r="D573" t="str">
        <f>IF(_xlfn.XLOOKUP(C573, ABZ!A:A, ABZ!B:B, "", 0) = 0, "", _xlfn.XLOOKUP(C573, ABZ!A:A, ABZ!B:B, "", 0))</f>
        <v>SUP-TCO-KnowledgeManagement</v>
      </c>
      <c r="E573" t="s">
        <v>834</v>
      </c>
      <c r="F573" t="s">
        <v>530</v>
      </c>
      <c r="I573">
        <f t="shared" si="24"/>
        <v>0</v>
      </c>
      <c r="J573" t="s">
        <v>873</v>
      </c>
      <c r="K573">
        <v>110869</v>
      </c>
      <c r="L573" s="9">
        <v>46079</v>
      </c>
      <c r="M573" s="9">
        <v>46092</v>
      </c>
      <c r="N573" s="18">
        <f t="shared" ca="1" si="25"/>
        <v>13</v>
      </c>
      <c r="O573" s="9">
        <v>46098</v>
      </c>
      <c r="P573" s="9" t="str">
        <f t="shared" si="26"/>
        <v>✅ Ja</v>
      </c>
      <c r="Q573" t="s">
        <v>839</v>
      </c>
      <c r="S573" t="s">
        <v>840</v>
      </c>
      <c r="T573" t="s">
        <v>540</v>
      </c>
      <c r="U573" t="s">
        <v>622</v>
      </c>
    </row>
    <row r="574" spans="2:22" x14ac:dyDescent="0.25">
      <c r="B574" t="s">
        <v>266</v>
      </c>
      <c r="C574" t="s">
        <v>508</v>
      </c>
      <c r="D574" t="str">
        <f>IF(_xlfn.XLOOKUP(C574, ABZ!A:A, ABZ!B:B, "", 0) = 0, "", _xlfn.XLOOKUP(C574, ABZ!A:A, ABZ!B:B, "", 0))</f>
        <v>SUP-TCO-KnowledgeManagement</v>
      </c>
      <c r="E574" t="s">
        <v>834</v>
      </c>
      <c r="F574" t="s">
        <v>531</v>
      </c>
      <c r="I574">
        <f t="shared" si="24"/>
        <v>0</v>
      </c>
      <c r="J574" t="s">
        <v>873</v>
      </c>
      <c r="K574">
        <v>110869</v>
      </c>
      <c r="L574" s="9">
        <v>46079</v>
      </c>
      <c r="M574" s="9">
        <v>46092</v>
      </c>
      <c r="N574" s="18">
        <f t="shared" ca="1" si="25"/>
        <v>13</v>
      </c>
      <c r="O574" s="9">
        <v>46098</v>
      </c>
      <c r="P574" s="9" t="str">
        <f t="shared" si="26"/>
        <v>✅ Ja</v>
      </c>
      <c r="Q574" t="s">
        <v>840</v>
      </c>
      <c r="S574" t="s">
        <v>840</v>
      </c>
      <c r="T574" t="s">
        <v>540</v>
      </c>
      <c r="U574" t="s">
        <v>622</v>
      </c>
    </row>
    <row r="575" spans="2:22" x14ac:dyDescent="0.25">
      <c r="B575" t="s">
        <v>267</v>
      </c>
      <c r="C575" t="s">
        <v>490</v>
      </c>
      <c r="D575" t="str">
        <f>IF(_xlfn.XLOOKUP(C575, ABZ!A:A, ABZ!B:B, "", 0) = 0, "", _xlfn.XLOOKUP(C575, ABZ!A:A, ABZ!B:B, "", 0))</f>
        <v>ENT-UIC-Android</v>
      </c>
      <c r="E575" t="s">
        <v>834</v>
      </c>
      <c r="F575" t="s">
        <v>532</v>
      </c>
      <c r="I575">
        <f t="shared" si="24"/>
        <v>0</v>
      </c>
      <c r="J575" t="s">
        <v>873</v>
      </c>
      <c r="K575">
        <v>156072</v>
      </c>
      <c r="L575" s="9">
        <v>46079</v>
      </c>
      <c r="M575" s="9">
        <v>46079</v>
      </c>
      <c r="N575" s="18">
        <f t="shared" ca="1" si="25"/>
        <v>0</v>
      </c>
      <c r="O575" s="9">
        <v>46083</v>
      </c>
      <c r="P575" s="9" t="str">
        <f t="shared" si="26"/>
        <v>✅ Ja</v>
      </c>
      <c r="Q575" t="s">
        <v>508</v>
      </c>
      <c r="R575" t="s">
        <v>838</v>
      </c>
      <c r="S575" t="s">
        <v>838</v>
      </c>
      <c r="T575" t="s">
        <v>540</v>
      </c>
      <c r="U575" t="s">
        <v>633</v>
      </c>
    </row>
    <row r="576" spans="2:22" x14ac:dyDescent="0.25">
      <c r="B576" s="4" t="s">
        <v>268</v>
      </c>
      <c r="C576" t="s">
        <v>503</v>
      </c>
      <c r="D576" t="str">
        <f>IF(_xlfn.XLOOKUP(C576, ABZ!A:A, ABZ!B:B, "", 0) = 0, "", _xlfn.XLOOKUP(C576, ABZ!A:A, ABZ!B:B, "", 0))</f>
        <v>D2C-Shop</v>
      </c>
      <c r="E576" t="s">
        <v>834</v>
      </c>
      <c r="F576" t="s">
        <v>530</v>
      </c>
      <c r="I576">
        <f t="shared" si="24"/>
        <v>0</v>
      </c>
      <c r="L576" s="9">
        <v>46076</v>
      </c>
      <c r="M576" s="9">
        <v>46080</v>
      </c>
      <c r="N576" s="18">
        <f t="shared" ca="1" si="25"/>
        <v>4</v>
      </c>
      <c r="O576" s="9">
        <v>46080</v>
      </c>
      <c r="P576" s="9" t="str">
        <f t="shared" si="26"/>
        <v>✅ Ja</v>
      </c>
      <c r="Q576" t="s">
        <v>844</v>
      </c>
      <c r="S576" t="s">
        <v>841</v>
      </c>
      <c r="T576" t="s">
        <v>540</v>
      </c>
      <c r="U576" t="s">
        <v>623</v>
      </c>
    </row>
    <row r="577" spans="2:21" x14ac:dyDescent="0.25">
      <c r="B577" s="4" t="s">
        <v>268</v>
      </c>
      <c r="C577" t="s">
        <v>503</v>
      </c>
      <c r="D577" t="str">
        <f>IF(_xlfn.XLOOKUP(C577, ABZ!A:A, ABZ!B:B, "", 0) = 0, "", _xlfn.XLOOKUP(C577, ABZ!A:A, ABZ!B:B, "", 0))</f>
        <v>D2C-Shop</v>
      </c>
      <c r="E577" t="s">
        <v>834</v>
      </c>
      <c r="F577" t="s">
        <v>531</v>
      </c>
      <c r="I577">
        <f t="shared" si="24"/>
        <v>0</v>
      </c>
      <c r="L577" s="9">
        <v>46076</v>
      </c>
      <c r="M577" s="9">
        <v>46080</v>
      </c>
      <c r="N577" s="18">
        <f t="shared" ca="1" si="25"/>
        <v>4</v>
      </c>
      <c r="O577" s="9">
        <v>46080</v>
      </c>
      <c r="P577" s="9" t="str">
        <f t="shared" si="26"/>
        <v>✅ Ja</v>
      </c>
      <c r="Q577" t="s">
        <v>840</v>
      </c>
      <c r="S577" t="s">
        <v>841</v>
      </c>
      <c r="T577" t="s">
        <v>540</v>
      </c>
      <c r="U577" t="s">
        <v>623</v>
      </c>
    </row>
    <row r="578" spans="2:21" x14ac:dyDescent="0.25">
      <c r="B578" s="4" t="s">
        <v>268</v>
      </c>
      <c r="C578" t="s">
        <v>503</v>
      </c>
      <c r="D578" t="str">
        <f>IF(_xlfn.XLOOKUP(C578, ABZ!A:A, ABZ!B:B, "", 0) = 0, "", _xlfn.XLOOKUP(C578, ABZ!A:A, ABZ!B:B, "", 0))</f>
        <v>D2C-Shop</v>
      </c>
      <c r="E578" t="s">
        <v>834</v>
      </c>
      <c r="F578" t="s">
        <v>528</v>
      </c>
      <c r="I578">
        <f t="shared" si="24"/>
        <v>0</v>
      </c>
      <c r="L578" s="9">
        <v>46076</v>
      </c>
      <c r="M578" s="9">
        <v>46080</v>
      </c>
      <c r="N578" s="18">
        <f t="shared" ca="1" si="25"/>
        <v>4</v>
      </c>
      <c r="O578" s="9">
        <v>46080</v>
      </c>
      <c r="P578" s="9" t="str">
        <f t="shared" si="26"/>
        <v>✅ Ja</v>
      </c>
      <c r="Q578" t="s">
        <v>841</v>
      </c>
      <c r="S578" t="s">
        <v>841</v>
      </c>
      <c r="T578" t="s">
        <v>540</v>
      </c>
      <c r="U578" t="s">
        <v>623</v>
      </c>
    </row>
    <row r="579" spans="2:21" x14ac:dyDescent="0.25">
      <c r="B579" s="4" t="s">
        <v>268</v>
      </c>
      <c r="C579" t="s">
        <v>503</v>
      </c>
      <c r="D579" t="str">
        <f>IF(_xlfn.XLOOKUP(C579, ABZ!A:A, ABZ!B:B, "", 0) = 0, "", _xlfn.XLOOKUP(C579, ABZ!A:A, ABZ!B:B, "", 0))</f>
        <v>D2C-Shop</v>
      </c>
      <c r="E579" t="s">
        <v>834</v>
      </c>
      <c r="F579" t="s">
        <v>527</v>
      </c>
      <c r="I579">
        <f t="shared" ref="I579:I642" si="27">IF(AND(O579&lt;&gt;"",L579&lt;&gt;""),IF((O579-L579)&lt;=2,1,0),0)</f>
        <v>0</v>
      </c>
      <c r="L579" s="9">
        <v>46076</v>
      </c>
      <c r="M579" s="9">
        <v>46080</v>
      </c>
      <c r="N579" s="18">
        <f t="shared" ref="N579:N642" ca="1" si="28">IF(M579&lt;&gt;"",M579-L579,TODAY()-L579)</f>
        <v>4</v>
      </c>
      <c r="O579" s="9">
        <v>46080</v>
      </c>
      <c r="P579" s="9" t="str">
        <f t="shared" ref="P579:P642" si="29">IF(M579="","⏳ Offen",IF(M579&lt;=O579,"✅ Ja","❌ Nein"))</f>
        <v>✅ Ja</v>
      </c>
      <c r="Q579" t="s">
        <v>836</v>
      </c>
      <c r="S579" t="s">
        <v>841</v>
      </c>
      <c r="T579" t="s">
        <v>540</v>
      </c>
      <c r="U579" t="s">
        <v>623</v>
      </c>
    </row>
    <row r="580" spans="2:21" x14ac:dyDescent="0.25">
      <c r="B580" s="4" t="s">
        <v>268</v>
      </c>
      <c r="C580" t="s">
        <v>503</v>
      </c>
      <c r="D580" t="str">
        <f>IF(_xlfn.XLOOKUP(C580, ABZ!A:A, ABZ!B:B, "", 0) = 0, "", _xlfn.XLOOKUP(C580, ABZ!A:A, ABZ!B:B, "", 0))</f>
        <v>D2C-Shop</v>
      </c>
      <c r="E580" t="s">
        <v>834</v>
      </c>
      <c r="F580" t="s">
        <v>527</v>
      </c>
      <c r="I580">
        <f t="shared" si="27"/>
        <v>0</v>
      </c>
      <c r="L580" s="9">
        <v>46076</v>
      </c>
      <c r="M580" s="9">
        <v>46080</v>
      </c>
      <c r="N580" s="18">
        <f t="shared" ca="1" si="28"/>
        <v>4</v>
      </c>
      <c r="O580" s="9">
        <v>46080</v>
      </c>
      <c r="P580" s="9" t="str">
        <f t="shared" si="29"/>
        <v>✅ Ja</v>
      </c>
      <c r="S580" t="s">
        <v>841</v>
      </c>
      <c r="T580" t="s">
        <v>540</v>
      </c>
      <c r="U580" t="s">
        <v>623</v>
      </c>
    </row>
    <row r="581" spans="2:21" x14ac:dyDescent="0.25">
      <c r="B581" t="s">
        <v>269</v>
      </c>
      <c r="C581" t="s">
        <v>465</v>
      </c>
      <c r="D581" t="str">
        <f>IF(_xlfn.XLOOKUP(C581, ABZ!A:A, ABZ!B:B, "", 0) = 0, "", _xlfn.XLOOKUP(C581, ABZ!A:A, ABZ!B:B, "", 0))</f>
        <v>KOM-Marketing</v>
      </c>
      <c r="E581" t="s">
        <v>835</v>
      </c>
      <c r="F581" t="s">
        <v>532</v>
      </c>
      <c r="H581">
        <v>1</v>
      </c>
      <c r="I581">
        <f t="shared" si="27"/>
        <v>1</v>
      </c>
      <c r="L581" s="9">
        <v>46080</v>
      </c>
      <c r="M581" s="9">
        <v>46080</v>
      </c>
      <c r="N581" s="18">
        <f t="shared" ca="1" si="28"/>
        <v>0</v>
      </c>
      <c r="O581" s="9">
        <v>46080</v>
      </c>
      <c r="P581" s="9" t="str">
        <f t="shared" si="29"/>
        <v>✅ Ja</v>
      </c>
      <c r="Q581" t="s">
        <v>838</v>
      </c>
      <c r="S581" t="s">
        <v>840</v>
      </c>
      <c r="T581" t="s">
        <v>540</v>
      </c>
      <c r="U581" t="s">
        <v>634</v>
      </c>
    </row>
    <row r="582" spans="2:21" x14ac:dyDescent="0.25">
      <c r="B582" t="s">
        <v>269</v>
      </c>
      <c r="C582" t="s">
        <v>465</v>
      </c>
      <c r="D582" t="str">
        <f>IF(_xlfn.XLOOKUP(C582, ABZ!A:A, ABZ!B:B, "", 0) = 0, "", _xlfn.XLOOKUP(C582, ABZ!A:A, ABZ!B:B, "", 0))</f>
        <v>KOM-Marketing</v>
      </c>
      <c r="E582" t="s">
        <v>834</v>
      </c>
      <c r="F582" t="s">
        <v>529</v>
      </c>
      <c r="I582">
        <f t="shared" si="27"/>
        <v>0</v>
      </c>
      <c r="L582" s="9">
        <v>46080</v>
      </c>
      <c r="M582" s="9">
        <v>46083</v>
      </c>
      <c r="N582" s="18">
        <f t="shared" ca="1" si="28"/>
        <v>3</v>
      </c>
      <c r="O582" s="9">
        <v>46084</v>
      </c>
      <c r="P582" s="9" t="str">
        <f t="shared" si="29"/>
        <v>✅ Ja</v>
      </c>
      <c r="Q582" t="s">
        <v>845</v>
      </c>
      <c r="S582" t="s">
        <v>840</v>
      </c>
      <c r="T582" t="s">
        <v>540</v>
      </c>
      <c r="U582" t="s">
        <v>634</v>
      </c>
    </row>
    <row r="583" spans="2:21" x14ac:dyDescent="0.25">
      <c r="B583" s="4" t="s">
        <v>270</v>
      </c>
      <c r="C583" t="s">
        <v>504</v>
      </c>
      <c r="D583" t="str">
        <f>IF(_xlfn.XLOOKUP(C583, ABZ!A:A, ABZ!B:B, "", 0) = 0, "", _xlfn.XLOOKUP(C583, ABZ!A:A, ABZ!B:B, "", 0))</f>
        <v>SUP-TechnicalCommunication-TCO</v>
      </c>
      <c r="E583" t="s">
        <v>834</v>
      </c>
      <c r="F583" t="s">
        <v>527</v>
      </c>
      <c r="I583">
        <f t="shared" si="27"/>
        <v>0</v>
      </c>
      <c r="L583" s="9">
        <v>46080</v>
      </c>
      <c r="M583" s="9">
        <v>46080</v>
      </c>
      <c r="N583" s="18">
        <f t="shared" ca="1" si="28"/>
        <v>0</v>
      </c>
      <c r="O583" s="9">
        <v>46087</v>
      </c>
      <c r="P583" s="9" t="str">
        <f t="shared" si="29"/>
        <v>✅ Ja</v>
      </c>
      <c r="S583" t="s">
        <v>841</v>
      </c>
      <c r="T583" t="s">
        <v>540</v>
      </c>
      <c r="U583" t="s">
        <v>623</v>
      </c>
    </row>
    <row r="584" spans="2:21" x14ac:dyDescent="0.25">
      <c r="B584" s="4" t="s">
        <v>270</v>
      </c>
      <c r="C584" t="s">
        <v>504</v>
      </c>
      <c r="D584" t="str">
        <f>IF(_xlfn.XLOOKUP(C584, ABZ!A:A, ABZ!B:B, "", 0) = 0, "", _xlfn.XLOOKUP(C584, ABZ!A:A, ABZ!B:B, "", 0))</f>
        <v>SUP-TechnicalCommunication-TCO</v>
      </c>
      <c r="E584" t="s">
        <v>834</v>
      </c>
      <c r="F584" t="s">
        <v>527</v>
      </c>
      <c r="I584">
        <f t="shared" si="27"/>
        <v>0</v>
      </c>
      <c r="L584" s="9">
        <v>46080</v>
      </c>
      <c r="M584" s="9">
        <v>46080</v>
      </c>
      <c r="N584" s="18">
        <f t="shared" ca="1" si="28"/>
        <v>0</v>
      </c>
      <c r="O584" s="9">
        <v>46087</v>
      </c>
      <c r="P584" s="9" t="str">
        <f t="shared" si="29"/>
        <v>✅ Ja</v>
      </c>
      <c r="S584" t="s">
        <v>841</v>
      </c>
      <c r="T584" t="s">
        <v>540</v>
      </c>
      <c r="U584" t="s">
        <v>623</v>
      </c>
    </row>
    <row r="585" spans="2:21" x14ac:dyDescent="0.25">
      <c r="B585" s="4" t="s">
        <v>270</v>
      </c>
      <c r="C585" t="s">
        <v>504</v>
      </c>
      <c r="D585" t="str">
        <f>IF(_xlfn.XLOOKUP(C585, ABZ!A:A, ABZ!B:B, "", 0) = 0, "", _xlfn.XLOOKUP(C585, ABZ!A:A, ABZ!B:B, "", 0))</f>
        <v>SUP-TechnicalCommunication-TCO</v>
      </c>
      <c r="E585" t="s">
        <v>834</v>
      </c>
      <c r="F585" t="s">
        <v>527</v>
      </c>
      <c r="I585">
        <f t="shared" si="27"/>
        <v>0</v>
      </c>
      <c r="L585" s="9">
        <v>46080</v>
      </c>
      <c r="M585" s="9">
        <v>46080</v>
      </c>
      <c r="N585" s="18">
        <f t="shared" ca="1" si="28"/>
        <v>0</v>
      </c>
      <c r="O585" s="9">
        <v>46087</v>
      </c>
      <c r="P585" s="9" t="str">
        <f t="shared" si="29"/>
        <v>✅ Ja</v>
      </c>
      <c r="S585" t="s">
        <v>841</v>
      </c>
      <c r="T585" t="s">
        <v>540</v>
      </c>
      <c r="U585" t="s">
        <v>623</v>
      </c>
    </row>
    <row r="586" spans="2:21" x14ac:dyDescent="0.25">
      <c r="B586" s="4" t="s">
        <v>270</v>
      </c>
      <c r="C586" t="s">
        <v>504</v>
      </c>
      <c r="D586" t="str">
        <f>IF(_xlfn.XLOOKUP(C586, ABZ!A:A, ABZ!B:B, "", 0) = 0, "", _xlfn.XLOOKUP(C586, ABZ!A:A, ABZ!B:B, "", 0))</f>
        <v>SUP-TechnicalCommunication-TCO</v>
      </c>
      <c r="E586" t="s">
        <v>834</v>
      </c>
      <c r="F586" t="s">
        <v>527</v>
      </c>
      <c r="I586">
        <f t="shared" si="27"/>
        <v>0</v>
      </c>
      <c r="L586" s="9">
        <v>46080</v>
      </c>
      <c r="M586" s="9">
        <v>46080</v>
      </c>
      <c r="N586" s="18">
        <f t="shared" ca="1" si="28"/>
        <v>0</v>
      </c>
      <c r="O586" s="9">
        <v>46087</v>
      </c>
      <c r="P586" s="9" t="str">
        <f t="shared" si="29"/>
        <v>✅ Ja</v>
      </c>
      <c r="S586" t="s">
        <v>841</v>
      </c>
      <c r="T586" t="s">
        <v>540</v>
      </c>
      <c r="U586" t="s">
        <v>623</v>
      </c>
    </row>
    <row r="587" spans="2:21" x14ac:dyDescent="0.25">
      <c r="B587" s="4" t="s">
        <v>270</v>
      </c>
      <c r="C587" t="s">
        <v>504</v>
      </c>
      <c r="D587" t="str">
        <f>IF(_xlfn.XLOOKUP(C587, ABZ!A:A, ABZ!B:B, "", 0) = 0, "", _xlfn.XLOOKUP(C587, ABZ!A:A, ABZ!B:B, "", 0))</f>
        <v>SUP-TechnicalCommunication-TCO</v>
      </c>
      <c r="E587" t="s">
        <v>834</v>
      </c>
      <c r="F587" t="s">
        <v>527</v>
      </c>
      <c r="I587">
        <f t="shared" si="27"/>
        <v>0</v>
      </c>
      <c r="L587" s="9">
        <v>46080</v>
      </c>
      <c r="M587" s="9">
        <v>46080</v>
      </c>
      <c r="N587" s="18">
        <f t="shared" ca="1" si="28"/>
        <v>0</v>
      </c>
      <c r="O587" s="9">
        <v>46087</v>
      </c>
      <c r="P587" s="9" t="str">
        <f t="shared" si="29"/>
        <v>✅ Ja</v>
      </c>
      <c r="S587" t="s">
        <v>841</v>
      </c>
      <c r="T587" t="s">
        <v>540</v>
      </c>
      <c r="U587" t="s">
        <v>623</v>
      </c>
    </row>
    <row r="588" spans="2:21" x14ac:dyDescent="0.25">
      <c r="B588" s="4" t="s">
        <v>271</v>
      </c>
      <c r="C588" t="s">
        <v>509</v>
      </c>
      <c r="D588" t="str">
        <f>IF(_xlfn.XLOOKUP(C588, ABZ!A:A, ABZ!B:B, "", 0) = 0, "", _xlfn.XLOOKUP(C588, ABZ!A:A, ABZ!B:B, "", 0))</f>
        <v>D2C-MarketingContent</v>
      </c>
      <c r="E588" t="s">
        <v>834</v>
      </c>
      <c r="F588" t="s">
        <v>528</v>
      </c>
      <c r="I588">
        <f t="shared" si="27"/>
        <v>0</v>
      </c>
      <c r="L588" s="9">
        <v>46077</v>
      </c>
      <c r="M588" s="9">
        <v>46087</v>
      </c>
      <c r="N588" s="18">
        <f t="shared" ca="1" si="28"/>
        <v>10</v>
      </c>
      <c r="O588" s="9">
        <v>46087</v>
      </c>
      <c r="P588" s="9" t="str">
        <f t="shared" si="29"/>
        <v>✅ Ja</v>
      </c>
      <c r="Q588" t="s">
        <v>841</v>
      </c>
      <c r="S588" t="s">
        <v>841</v>
      </c>
      <c r="T588" t="s">
        <v>540</v>
      </c>
      <c r="U588" t="s">
        <v>593</v>
      </c>
    </row>
    <row r="589" spans="2:21" x14ac:dyDescent="0.25">
      <c r="B589" s="4" t="s">
        <v>271</v>
      </c>
      <c r="C589" t="s">
        <v>509</v>
      </c>
      <c r="D589" t="str">
        <f>IF(_xlfn.XLOOKUP(C589, ABZ!A:A, ABZ!B:B, "", 0) = 0, "", _xlfn.XLOOKUP(C589, ABZ!A:A, ABZ!B:B, "", 0))</f>
        <v>D2C-MarketingContent</v>
      </c>
      <c r="E589" t="s">
        <v>834</v>
      </c>
      <c r="F589" t="s">
        <v>527</v>
      </c>
      <c r="I589">
        <f t="shared" si="27"/>
        <v>0</v>
      </c>
      <c r="L589" s="9">
        <v>46077</v>
      </c>
      <c r="M589" s="9">
        <v>46087</v>
      </c>
      <c r="N589" s="18">
        <f t="shared" ca="1" si="28"/>
        <v>10</v>
      </c>
      <c r="O589" s="9">
        <v>46087</v>
      </c>
      <c r="P589" s="9" t="str">
        <f t="shared" si="29"/>
        <v>✅ Ja</v>
      </c>
      <c r="Q589" t="s">
        <v>836</v>
      </c>
      <c r="S589" t="s">
        <v>841</v>
      </c>
      <c r="T589" t="s">
        <v>540</v>
      </c>
      <c r="U589" t="s">
        <v>593</v>
      </c>
    </row>
    <row r="590" spans="2:21" x14ac:dyDescent="0.25">
      <c r="B590" s="4" t="s">
        <v>271</v>
      </c>
      <c r="C590" t="s">
        <v>509</v>
      </c>
      <c r="D590" t="str">
        <f>IF(_xlfn.XLOOKUP(C590, ABZ!A:A, ABZ!B:B, "", 0) = 0, "", _xlfn.XLOOKUP(C590, ABZ!A:A, ABZ!B:B, "", 0))</f>
        <v>D2C-MarketingContent</v>
      </c>
      <c r="E590" t="s">
        <v>834</v>
      </c>
      <c r="F590" t="s">
        <v>530</v>
      </c>
      <c r="I590">
        <f t="shared" si="27"/>
        <v>0</v>
      </c>
      <c r="L590" s="9">
        <v>46077</v>
      </c>
      <c r="M590" s="9">
        <v>46087</v>
      </c>
      <c r="N590" s="18">
        <f t="shared" ca="1" si="28"/>
        <v>10</v>
      </c>
      <c r="O590" s="9">
        <v>46087</v>
      </c>
      <c r="P590" s="9" t="str">
        <f t="shared" si="29"/>
        <v>✅ Ja</v>
      </c>
      <c r="Q590" t="s">
        <v>839</v>
      </c>
      <c r="S590" t="s">
        <v>841</v>
      </c>
      <c r="T590" t="s">
        <v>540</v>
      </c>
      <c r="U590" t="s">
        <v>593</v>
      </c>
    </row>
    <row r="591" spans="2:21" x14ac:dyDescent="0.25">
      <c r="B591" s="4" t="s">
        <v>272</v>
      </c>
      <c r="C591" t="s">
        <v>509</v>
      </c>
      <c r="D591" t="str">
        <f>IF(_xlfn.XLOOKUP(C591, ABZ!A:A, ABZ!B:B, "", 0) = 0, "", _xlfn.XLOOKUP(C591, ABZ!A:A, ABZ!B:B, "", 0))</f>
        <v>D2C-MarketingContent</v>
      </c>
      <c r="E591" t="s">
        <v>834</v>
      </c>
      <c r="F591" t="s">
        <v>531</v>
      </c>
      <c r="I591">
        <f t="shared" si="27"/>
        <v>0</v>
      </c>
      <c r="L591" s="9">
        <v>46077</v>
      </c>
      <c r="M591" s="9">
        <v>46087</v>
      </c>
      <c r="N591" s="18">
        <f t="shared" ca="1" si="28"/>
        <v>10</v>
      </c>
      <c r="O591" s="9">
        <v>46087</v>
      </c>
      <c r="P591" s="9" t="str">
        <f t="shared" si="29"/>
        <v>✅ Ja</v>
      </c>
      <c r="Q591" t="s">
        <v>843</v>
      </c>
      <c r="S591" t="s">
        <v>841</v>
      </c>
      <c r="T591" t="s">
        <v>540</v>
      </c>
      <c r="U591" t="s">
        <v>593</v>
      </c>
    </row>
    <row r="592" spans="2:21" x14ac:dyDescent="0.25">
      <c r="B592" t="s">
        <v>273</v>
      </c>
      <c r="C592" t="s">
        <v>485</v>
      </c>
      <c r="D592" t="str">
        <f>IF(_xlfn.XLOOKUP(C592, ABZ!A:A, ABZ!B:B, "", 0) = 0, "", _xlfn.XLOOKUP(C592, ABZ!A:A, ABZ!B:B, "", 0))</f>
        <v>VTR-CS-SER-PartnerCommunication</v>
      </c>
      <c r="E592" t="s">
        <v>834</v>
      </c>
      <c r="F592" t="s">
        <v>528</v>
      </c>
      <c r="I592">
        <f t="shared" si="27"/>
        <v>0</v>
      </c>
      <c r="L592" s="9">
        <v>46078</v>
      </c>
      <c r="M592" s="9">
        <v>46087</v>
      </c>
      <c r="N592" s="18">
        <f t="shared" ca="1" si="28"/>
        <v>9</v>
      </c>
      <c r="O592" s="9">
        <v>46087</v>
      </c>
      <c r="P592" s="9" t="str">
        <f t="shared" si="29"/>
        <v>✅ Ja</v>
      </c>
      <c r="Q592" t="s">
        <v>847</v>
      </c>
      <c r="R592" t="s">
        <v>841</v>
      </c>
      <c r="S592" t="s">
        <v>839</v>
      </c>
      <c r="T592" t="s">
        <v>540</v>
      </c>
      <c r="U592" t="s">
        <v>595</v>
      </c>
    </row>
    <row r="593" spans="2:21" x14ac:dyDescent="0.25">
      <c r="B593" t="s">
        <v>274</v>
      </c>
      <c r="C593" t="s">
        <v>510</v>
      </c>
      <c r="D593" t="str">
        <f>IF(_xlfn.XLOOKUP(C593, ABZ!A:A, ABZ!B:B, "", 0) = 0, "", _xlfn.XLOOKUP(C593, ABZ!A:A, ABZ!B:B, "", 0))</f>
        <v>VTR-CampaignsContent</v>
      </c>
      <c r="E593" t="s">
        <v>834</v>
      </c>
      <c r="F593" t="s">
        <v>529</v>
      </c>
      <c r="I593">
        <f t="shared" si="27"/>
        <v>0</v>
      </c>
      <c r="L593" s="9">
        <v>46078</v>
      </c>
      <c r="M593" s="9">
        <v>46083</v>
      </c>
      <c r="N593" s="18">
        <f t="shared" ca="1" si="28"/>
        <v>5</v>
      </c>
      <c r="O593" s="9">
        <v>46085</v>
      </c>
      <c r="P593" s="9" t="str">
        <f t="shared" si="29"/>
        <v>✅ Ja</v>
      </c>
      <c r="Q593" t="s">
        <v>837</v>
      </c>
      <c r="S593" t="s">
        <v>839</v>
      </c>
      <c r="T593" t="s">
        <v>540</v>
      </c>
      <c r="U593" t="s">
        <v>635</v>
      </c>
    </row>
    <row r="594" spans="2:21" x14ac:dyDescent="0.25">
      <c r="B594" t="s">
        <v>275</v>
      </c>
      <c r="C594" t="s">
        <v>510</v>
      </c>
      <c r="D594" t="str">
        <f>IF(_xlfn.XLOOKUP(C594, ABZ!A:A, ABZ!B:B, "", 0) = 0, "", _xlfn.XLOOKUP(C594, ABZ!A:A, ABZ!B:B, "", 0))</f>
        <v>VTR-CampaignsContent</v>
      </c>
      <c r="E594" t="s">
        <v>834</v>
      </c>
      <c r="F594" t="s">
        <v>529</v>
      </c>
      <c r="I594">
        <f t="shared" si="27"/>
        <v>0</v>
      </c>
      <c r="L594" s="9">
        <v>46078</v>
      </c>
      <c r="M594" s="9">
        <v>46083</v>
      </c>
      <c r="N594" s="18">
        <f t="shared" ca="1" si="28"/>
        <v>5</v>
      </c>
      <c r="O594" s="9">
        <v>46085</v>
      </c>
      <c r="P594" s="9" t="str">
        <f t="shared" si="29"/>
        <v>✅ Ja</v>
      </c>
      <c r="Q594" t="s">
        <v>837</v>
      </c>
      <c r="S594" t="s">
        <v>839</v>
      </c>
      <c r="T594" t="s">
        <v>540</v>
      </c>
      <c r="U594" t="s">
        <v>635</v>
      </c>
    </row>
    <row r="595" spans="2:21" x14ac:dyDescent="0.25">
      <c r="B595" t="s">
        <v>276</v>
      </c>
      <c r="C595" t="s">
        <v>457</v>
      </c>
      <c r="D595" t="str">
        <f>IF(_xlfn.XLOOKUP(C595, ABZ!A:A, ABZ!B:B, "", 0) = 0, "", _xlfn.XLOOKUP(C595, ABZ!A:A, ABZ!B:B, "", 0))</f>
        <v>VTR-CS-SER-PartnerCommunication</v>
      </c>
      <c r="E595" t="s">
        <v>834</v>
      </c>
      <c r="F595" t="s">
        <v>528</v>
      </c>
      <c r="I595">
        <f t="shared" si="27"/>
        <v>0</v>
      </c>
      <c r="L595" s="9">
        <v>46080</v>
      </c>
      <c r="M595" s="9">
        <v>46090</v>
      </c>
      <c r="N595" s="18">
        <f t="shared" ca="1" si="28"/>
        <v>10</v>
      </c>
      <c r="O595" s="9">
        <v>46090</v>
      </c>
      <c r="P595" s="9" t="str">
        <f t="shared" si="29"/>
        <v>✅ Ja</v>
      </c>
      <c r="Q595" t="s">
        <v>847</v>
      </c>
      <c r="R595" t="s">
        <v>841</v>
      </c>
      <c r="S595" t="s">
        <v>839</v>
      </c>
      <c r="T595" t="s">
        <v>540</v>
      </c>
      <c r="U595" t="s">
        <v>595</v>
      </c>
    </row>
    <row r="596" spans="2:21" x14ac:dyDescent="0.25">
      <c r="B596" t="s">
        <v>277</v>
      </c>
      <c r="C596" t="s">
        <v>457</v>
      </c>
      <c r="D596" t="str">
        <f>IF(_xlfn.XLOOKUP(C596, ABZ!A:A, ABZ!B:B, "", 0) = 0, "", _xlfn.XLOOKUP(C596, ABZ!A:A, ABZ!B:B, "", 0))</f>
        <v>VTR-CS-SER-PartnerCommunication</v>
      </c>
      <c r="E596" t="s">
        <v>834</v>
      </c>
      <c r="F596" t="s">
        <v>527</v>
      </c>
      <c r="I596">
        <f t="shared" si="27"/>
        <v>0</v>
      </c>
      <c r="L596" s="9">
        <v>46080</v>
      </c>
      <c r="M596" s="9">
        <v>46090</v>
      </c>
      <c r="N596" s="18">
        <f t="shared" ca="1" si="28"/>
        <v>10</v>
      </c>
      <c r="O596" s="9">
        <v>46090</v>
      </c>
      <c r="P596" s="9" t="str">
        <f t="shared" si="29"/>
        <v>✅ Ja</v>
      </c>
      <c r="Q596" t="s">
        <v>836</v>
      </c>
      <c r="S596" t="s">
        <v>839</v>
      </c>
      <c r="T596" t="s">
        <v>540</v>
      </c>
      <c r="U596" t="s">
        <v>636</v>
      </c>
    </row>
    <row r="597" spans="2:21" x14ac:dyDescent="0.25">
      <c r="B597" t="s">
        <v>278</v>
      </c>
      <c r="C597" t="s">
        <v>457</v>
      </c>
      <c r="D597" t="str">
        <f>IF(_xlfn.XLOOKUP(C597, ABZ!A:A, ABZ!B:B, "", 0) = 0, "", _xlfn.XLOOKUP(C597, ABZ!A:A, ABZ!B:B, "", 0))</f>
        <v>VTR-CS-SER-PartnerCommunication</v>
      </c>
      <c r="E597" t="s">
        <v>834</v>
      </c>
      <c r="F597" t="s">
        <v>530</v>
      </c>
      <c r="I597">
        <f t="shared" si="27"/>
        <v>0</v>
      </c>
      <c r="L597" s="9">
        <v>46080</v>
      </c>
      <c r="M597" s="9">
        <v>46090</v>
      </c>
      <c r="N597" s="18">
        <f t="shared" ca="1" si="28"/>
        <v>10</v>
      </c>
      <c r="O597" s="9">
        <v>46090</v>
      </c>
      <c r="P597" s="9" t="str">
        <f t="shared" si="29"/>
        <v>✅ Ja</v>
      </c>
      <c r="Q597" t="s">
        <v>839</v>
      </c>
      <c r="S597" t="s">
        <v>839</v>
      </c>
      <c r="T597" t="s">
        <v>540</v>
      </c>
      <c r="U597" t="s">
        <v>637</v>
      </c>
    </row>
    <row r="598" spans="2:21" x14ac:dyDescent="0.25">
      <c r="B598" t="s">
        <v>267</v>
      </c>
      <c r="C598" t="s">
        <v>490</v>
      </c>
      <c r="D598" t="str">
        <f>IF(_xlfn.XLOOKUP(C598, ABZ!A:A, ABZ!B:B, "", 0) = 0, "", _xlfn.XLOOKUP(C598, ABZ!A:A, ABZ!B:B, "", 0))</f>
        <v>ENT-UIC-Android</v>
      </c>
      <c r="E598" t="s">
        <v>834</v>
      </c>
      <c r="F598" t="s">
        <v>529</v>
      </c>
      <c r="I598">
        <f t="shared" si="27"/>
        <v>1</v>
      </c>
      <c r="J598" t="s">
        <v>873</v>
      </c>
      <c r="K598">
        <v>156072</v>
      </c>
      <c r="L598" s="9">
        <v>46083</v>
      </c>
      <c r="M598" s="9">
        <v>46086</v>
      </c>
      <c r="N598" s="18">
        <f t="shared" ca="1" si="28"/>
        <v>3</v>
      </c>
      <c r="O598" s="9">
        <v>46085</v>
      </c>
      <c r="P598" s="9" t="str">
        <f t="shared" si="29"/>
        <v>❌ Nein</v>
      </c>
      <c r="Q598" t="s">
        <v>846</v>
      </c>
      <c r="S598" t="s">
        <v>838</v>
      </c>
      <c r="T598" t="s">
        <v>540</v>
      </c>
      <c r="U598" t="s">
        <v>633</v>
      </c>
    </row>
    <row r="599" spans="2:21" x14ac:dyDescent="0.25">
      <c r="B599" t="s">
        <v>267</v>
      </c>
      <c r="C599" t="s">
        <v>490</v>
      </c>
      <c r="D599" t="str">
        <f>IF(_xlfn.XLOOKUP(C599, ABZ!A:A, ABZ!B:B, "", 0) = 0, "", _xlfn.XLOOKUP(C599, ABZ!A:A, ABZ!B:B, "", 0))</f>
        <v>ENT-UIC-Android</v>
      </c>
      <c r="E599" t="s">
        <v>834</v>
      </c>
      <c r="F599" t="s">
        <v>530</v>
      </c>
      <c r="I599">
        <f t="shared" si="27"/>
        <v>1</v>
      </c>
      <c r="J599" t="s">
        <v>873</v>
      </c>
      <c r="K599">
        <v>156072</v>
      </c>
      <c r="L599" s="9">
        <v>46083</v>
      </c>
      <c r="M599" s="9">
        <v>46086</v>
      </c>
      <c r="N599" s="18">
        <f t="shared" ca="1" si="28"/>
        <v>3</v>
      </c>
      <c r="O599" s="9">
        <v>46085</v>
      </c>
      <c r="P599" s="9" t="str">
        <f t="shared" si="29"/>
        <v>❌ Nein</v>
      </c>
      <c r="Q599" t="s">
        <v>839</v>
      </c>
      <c r="S599" t="s">
        <v>838</v>
      </c>
      <c r="T599" t="s">
        <v>540</v>
      </c>
      <c r="U599" t="s">
        <v>633</v>
      </c>
    </row>
    <row r="600" spans="2:21" x14ac:dyDescent="0.25">
      <c r="B600" t="s">
        <v>267</v>
      </c>
      <c r="C600" t="s">
        <v>490</v>
      </c>
      <c r="D600" t="str">
        <f>IF(_xlfn.XLOOKUP(C600, ABZ!A:A, ABZ!B:B, "", 0) = 0, "", _xlfn.XLOOKUP(C600, ABZ!A:A, ABZ!B:B, "", 0))</f>
        <v>ENT-UIC-Android</v>
      </c>
      <c r="E600" t="s">
        <v>834</v>
      </c>
      <c r="F600" t="s">
        <v>531</v>
      </c>
      <c r="I600">
        <f t="shared" si="27"/>
        <v>1</v>
      </c>
      <c r="J600" t="s">
        <v>873</v>
      </c>
      <c r="K600">
        <v>156072</v>
      </c>
      <c r="L600" s="9">
        <v>46083</v>
      </c>
      <c r="M600" s="9">
        <v>46086</v>
      </c>
      <c r="N600" s="18">
        <f t="shared" ca="1" si="28"/>
        <v>3</v>
      </c>
      <c r="O600" s="9">
        <v>46085</v>
      </c>
      <c r="P600" s="9" t="str">
        <f t="shared" si="29"/>
        <v>❌ Nein</v>
      </c>
      <c r="Q600" t="s">
        <v>843</v>
      </c>
      <c r="S600" t="s">
        <v>838</v>
      </c>
      <c r="T600" t="s">
        <v>540</v>
      </c>
      <c r="U600" t="s">
        <v>633</v>
      </c>
    </row>
    <row r="601" spans="2:21" x14ac:dyDescent="0.25">
      <c r="B601" t="s">
        <v>267</v>
      </c>
      <c r="C601" t="s">
        <v>490</v>
      </c>
      <c r="D601" t="str">
        <f>IF(_xlfn.XLOOKUP(C601, ABZ!A:A, ABZ!B:B, "", 0) = 0, "", _xlfn.XLOOKUP(C601, ABZ!A:A, ABZ!B:B, "", 0))</f>
        <v>ENT-UIC-Android</v>
      </c>
      <c r="E601" t="s">
        <v>834</v>
      </c>
      <c r="F601" t="s">
        <v>528</v>
      </c>
      <c r="I601">
        <f t="shared" si="27"/>
        <v>1</v>
      </c>
      <c r="J601" t="s">
        <v>873</v>
      </c>
      <c r="K601">
        <v>156072</v>
      </c>
      <c r="L601" s="9">
        <v>46083</v>
      </c>
      <c r="M601" s="9">
        <v>46086</v>
      </c>
      <c r="N601" s="18">
        <f t="shared" ca="1" si="28"/>
        <v>3</v>
      </c>
      <c r="O601" s="9">
        <v>46085</v>
      </c>
      <c r="P601" s="9" t="str">
        <f t="shared" si="29"/>
        <v>❌ Nein</v>
      </c>
      <c r="Q601" t="s">
        <v>841</v>
      </c>
      <c r="S601" t="s">
        <v>838</v>
      </c>
      <c r="T601" t="s">
        <v>540</v>
      </c>
      <c r="U601" t="s">
        <v>638</v>
      </c>
    </row>
    <row r="602" spans="2:21" x14ac:dyDescent="0.25">
      <c r="B602" t="s">
        <v>267</v>
      </c>
      <c r="C602" t="s">
        <v>490</v>
      </c>
      <c r="D602" t="str">
        <f>IF(_xlfn.XLOOKUP(C602, ABZ!A:A, ABZ!B:B, "", 0) = 0, "", _xlfn.XLOOKUP(C602, ABZ!A:A, ABZ!B:B, "", 0))</f>
        <v>ENT-UIC-Android</v>
      </c>
      <c r="E602" t="s">
        <v>834</v>
      </c>
      <c r="F602" t="s">
        <v>527</v>
      </c>
      <c r="I602">
        <f t="shared" si="27"/>
        <v>1</v>
      </c>
      <c r="J602" t="s">
        <v>873</v>
      </c>
      <c r="K602">
        <v>156072</v>
      </c>
      <c r="L602" s="9">
        <v>46083</v>
      </c>
      <c r="M602" s="9">
        <v>46086</v>
      </c>
      <c r="N602" s="18">
        <f t="shared" ca="1" si="28"/>
        <v>3</v>
      </c>
      <c r="O602" s="9">
        <v>46085</v>
      </c>
      <c r="P602" s="9" t="str">
        <f t="shared" si="29"/>
        <v>❌ Nein</v>
      </c>
      <c r="Q602" t="s">
        <v>836</v>
      </c>
      <c r="S602" t="s">
        <v>838</v>
      </c>
      <c r="T602" t="s">
        <v>540</v>
      </c>
      <c r="U602" t="s">
        <v>633</v>
      </c>
    </row>
    <row r="603" spans="2:21" x14ac:dyDescent="0.25">
      <c r="B603" t="s">
        <v>267</v>
      </c>
      <c r="C603" t="s">
        <v>490</v>
      </c>
      <c r="D603" t="str">
        <f>IF(_xlfn.XLOOKUP(C603, ABZ!A:A, ABZ!B:B, "", 0) = 0, "", _xlfn.XLOOKUP(C603, ABZ!A:A, ABZ!B:B, "", 0))</f>
        <v>ENT-UIC-Android</v>
      </c>
      <c r="E603" t="s">
        <v>834</v>
      </c>
      <c r="F603" t="s">
        <v>535</v>
      </c>
      <c r="I603">
        <f t="shared" si="27"/>
        <v>0</v>
      </c>
      <c r="J603" t="s">
        <v>873</v>
      </c>
      <c r="K603">
        <v>156072</v>
      </c>
      <c r="L603" s="9">
        <v>46083</v>
      </c>
      <c r="M603" s="9">
        <v>46086</v>
      </c>
      <c r="N603" s="18">
        <f t="shared" ca="1" si="28"/>
        <v>3</v>
      </c>
      <c r="O603" s="9">
        <v>46086</v>
      </c>
      <c r="P603" s="9" t="str">
        <f t="shared" si="29"/>
        <v>✅ Ja</v>
      </c>
      <c r="Q603" t="s">
        <v>842</v>
      </c>
      <c r="S603" t="s">
        <v>838</v>
      </c>
      <c r="T603" t="s">
        <v>540</v>
      </c>
      <c r="U603" t="s">
        <v>633</v>
      </c>
    </row>
    <row r="604" spans="2:21" x14ac:dyDescent="0.25">
      <c r="B604" t="s">
        <v>267</v>
      </c>
      <c r="C604" t="s">
        <v>490</v>
      </c>
      <c r="D604" t="str">
        <f>IF(_xlfn.XLOOKUP(C604, ABZ!A:A, ABZ!B:B, "", 0) = 0, "", _xlfn.XLOOKUP(C604, ABZ!A:A, ABZ!B:B, "", 0))</f>
        <v>ENT-UIC-Android</v>
      </c>
      <c r="E604" t="s">
        <v>834</v>
      </c>
      <c r="F604" t="s">
        <v>538</v>
      </c>
      <c r="I604">
        <f t="shared" si="27"/>
        <v>0</v>
      </c>
      <c r="J604" t="s">
        <v>873</v>
      </c>
      <c r="K604">
        <v>156072</v>
      </c>
      <c r="L604" s="9">
        <v>46083</v>
      </c>
      <c r="M604" s="9">
        <v>46086</v>
      </c>
      <c r="N604" s="18">
        <f t="shared" ca="1" si="28"/>
        <v>3</v>
      </c>
      <c r="O604" s="9">
        <v>46086</v>
      </c>
      <c r="P604" s="9" t="str">
        <f t="shared" si="29"/>
        <v>✅ Ja</v>
      </c>
      <c r="Q604" t="s">
        <v>842</v>
      </c>
      <c r="S604" t="s">
        <v>838</v>
      </c>
      <c r="T604" t="s">
        <v>540</v>
      </c>
      <c r="U604" t="s">
        <v>633</v>
      </c>
    </row>
    <row r="605" spans="2:21" x14ac:dyDescent="0.25">
      <c r="B605" t="s">
        <v>279</v>
      </c>
      <c r="C605" t="s">
        <v>511</v>
      </c>
      <c r="D605" t="str">
        <f>IF(_xlfn.XLOOKUP(C605, ABZ!A:A, ABZ!B:B, "", 0) = 0, "", _xlfn.XLOOKUP(C605, ABZ!A:A, ABZ!B:B, "", 0))</f>
        <v>ENT-WM-iOS-Apps</v>
      </c>
      <c r="E605" t="s">
        <v>834</v>
      </c>
      <c r="F605" t="s">
        <v>532</v>
      </c>
      <c r="I605">
        <f t="shared" si="27"/>
        <v>1</v>
      </c>
      <c r="J605" t="s">
        <v>873</v>
      </c>
      <c r="K605">
        <v>156151</v>
      </c>
      <c r="L605" s="9">
        <v>46083</v>
      </c>
      <c r="M605" s="9">
        <v>46083</v>
      </c>
      <c r="N605" s="18">
        <f t="shared" ca="1" si="28"/>
        <v>0</v>
      </c>
      <c r="O605" s="9">
        <v>46083</v>
      </c>
      <c r="P605" s="9" t="str">
        <f t="shared" si="29"/>
        <v>✅ Ja</v>
      </c>
      <c r="Q605" t="s">
        <v>508</v>
      </c>
      <c r="R605" t="s">
        <v>838</v>
      </c>
      <c r="S605" t="s">
        <v>838</v>
      </c>
      <c r="T605" t="s">
        <v>540</v>
      </c>
      <c r="U605" t="s">
        <v>639</v>
      </c>
    </row>
    <row r="606" spans="2:21" x14ac:dyDescent="0.25">
      <c r="B606" t="s">
        <v>280</v>
      </c>
      <c r="C606" t="s">
        <v>512</v>
      </c>
      <c r="D606" t="str">
        <f>IF(_xlfn.XLOOKUP(C606, ABZ!A:A, ABZ!B:B, "", 0) = 0, "", _xlfn.XLOOKUP(C606, ABZ!A:A, ABZ!B:B, "", 0))</f>
        <v>ENT-UIC-iOS</v>
      </c>
      <c r="E606" t="s">
        <v>834</v>
      </c>
      <c r="F606" t="s">
        <v>532</v>
      </c>
      <c r="I606">
        <f t="shared" si="27"/>
        <v>1</v>
      </c>
      <c r="J606" t="s">
        <v>873</v>
      </c>
      <c r="K606">
        <v>154920</v>
      </c>
      <c r="L606" s="9">
        <v>46083</v>
      </c>
      <c r="M606" s="9">
        <v>46084</v>
      </c>
      <c r="N606" s="18">
        <f t="shared" ca="1" si="28"/>
        <v>1</v>
      </c>
      <c r="O606" s="9">
        <v>46084</v>
      </c>
      <c r="P606" s="9" t="str">
        <f t="shared" si="29"/>
        <v>✅ Ja</v>
      </c>
      <c r="Q606" t="s">
        <v>508</v>
      </c>
      <c r="R606" t="s">
        <v>838</v>
      </c>
      <c r="S606" t="s">
        <v>840</v>
      </c>
      <c r="T606" t="s">
        <v>540</v>
      </c>
      <c r="U606" t="s">
        <v>640</v>
      </c>
    </row>
    <row r="607" spans="2:21" x14ac:dyDescent="0.25">
      <c r="B607" t="s">
        <v>281</v>
      </c>
      <c r="C607" t="s">
        <v>465</v>
      </c>
      <c r="D607" t="str">
        <f>IF(_xlfn.XLOOKUP(C607, ABZ!A:A, ABZ!B:B, "", 0) = 0, "", _xlfn.XLOOKUP(C607, ABZ!A:A, ABZ!B:B, "", 0))</f>
        <v>KOM-Marketing</v>
      </c>
      <c r="E607" t="s">
        <v>835</v>
      </c>
      <c r="F607" t="s">
        <v>532</v>
      </c>
      <c r="H607">
        <v>1</v>
      </c>
      <c r="I607">
        <f t="shared" si="27"/>
        <v>1</v>
      </c>
      <c r="L607" s="9">
        <v>46084</v>
      </c>
      <c r="M607" s="9">
        <v>46084</v>
      </c>
      <c r="N607" s="18">
        <f t="shared" ca="1" si="28"/>
        <v>0</v>
      </c>
      <c r="O607" s="9">
        <v>46086</v>
      </c>
      <c r="P607" s="9" t="str">
        <f t="shared" si="29"/>
        <v>✅ Ja</v>
      </c>
      <c r="Q607" t="s">
        <v>838</v>
      </c>
      <c r="S607" t="s">
        <v>840</v>
      </c>
      <c r="T607" t="s">
        <v>540</v>
      </c>
      <c r="U607" t="s">
        <v>641</v>
      </c>
    </row>
    <row r="608" spans="2:21" ht="16.5" x14ac:dyDescent="0.3">
      <c r="B608" t="s">
        <v>281</v>
      </c>
      <c r="C608" t="s">
        <v>465</v>
      </c>
      <c r="D608" t="str">
        <f>IF(_xlfn.XLOOKUP(C608, ABZ!A:A, ABZ!B:B, "", 0) = 0, "", _xlfn.XLOOKUP(C608, ABZ!A:A, ABZ!B:B, "", 0))</f>
        <v>KOM-Marketing</v>
      </c>
      <c r="E608" t="s">
        <v>834</v>
      </c>
      <c r="F608" t="s">
        <v>529</v>
      </c>
      <c r="I608">
        <f t="shared" si="27"/>
        <v>1</v>
      </c>
      <c r="L608" s="9">
        <v>46084</v>
      </c>
      <c r="M608" s="9">
        <v>46085</v>
      </c>
      <c r="N608" s="18">
        <f t="shared" ca="1" si="28"/>
        <v>1</v>
      </c>
      <c r="O608" s="9">
        <v>46086</v>
      </c>
      <c r="P608" s="9" t="str">
        <f t="shared" si="29"/>
        <v>✅ Ja</v>
      </c>
      <c r="Q608" t="s">
        <v>845</v>
      </c>
      <c r="S608" t="s">
        <v>840</v>
      </c>
      <c r="T608" t="s">
        <v>540</v>
      </c>
      <c r="U608" s="2" t="s">
        <v>591</v>
      </c>
    </row>
    <row r="609" spans="2:21" x14ac:dyDescent="0.25">
      <c r="B609" s="3" t="s">
        <v>282</v>
      </c>
      <c r="C609" t="s">
        <v>463</v>
      </c>
      <c r="D609" t="str">
        <f>IF(_xlfn.XLOOKUP(C609, ABZ!A:A, ABZ!B:B, "", 0) = 0, "", _xlfn.XLOOKUP(C609, ABZ!A:A, ABZ!B:B, "", 0))</f>
        <v>D2C-MarketingContent</v>
      </c>
      <c r="E609" t="s">
        <v>834</v>
      </c>
      <c r="F609" t="s">
        <v>529</v>
      </c>
      <c r="I609">
        <f t="shared" si="27"/>
        <v>1</v>
      </c>
      <c r="L609" s="9">
        <v>46084</v>
      </c>
      <c r="M609" s="9">
        <v>46085</v>
      </c>
      <c r="N609" s="18">
        <f t="shared" ca="1" si="28"/>
        <v>1</v>
      </c>
      <c r="O609" s="9">
        <v>46086</v>
      </c>
      <c r="P609" s="9" t="str">
        <f t="shared" si="29"/>
        <v>✅ Ja</v>
      </c>
      <c r="Q609" t="s">
        <v>846</v>
      </c>
      <c r="S609" t="s">
        <v>841</v>
      </c>
      <c r="T609" t="s">
        <v>540</v>
      </c>
      <c r="U609" t="s">
        <v>642</v>
      </c>
    </row>
    <row r="610" spans="2:21" x14ac:dyDescent="0.25">
      <c r="B610" s="3" t="s">
        <v>282</v>
      </c>
      <c r="C610" t="s">
        <v>488</v>
      </c>
      <c r="D610" t="str">
        <f>IF(_xlfn.XLOOKUP(C610, ABZ!A:A, ABZ!B:B, "", 0) = 0, "", _xlfn.XLOOKUP(C610, ABZ!A:A, ABZ!B:B, "", 0))</f>
        <v>D2C-MarketingContent</v>
      </c>
      <c r="E610" t="s">
        <v>834</v>
      </c>
      <c r="F610" t="s">
        <v>528</v>
      </c>
      <c r="I610">
        <f t="shared" si="27"/>
        <v>1</v>
      </c>
      <c r="L610" s="9">
        <v>46084</v>
      </c>
      <c r="M610" s="9">
        <v>46085</v>
      </c>
      <c r="N610" s="18">
        <f t="shared" ca="1" si="28"/>
        <v>1</v>
      </c>
      <c r="O610" s="9">
        <v>46086</v>
      </c>
      <c r="P610" s="9" t="str">
        <f t="shared" si="29"/>
        <v>✅ Ja</v>
      </c>
      <c r="Q610" t="s">
        <v>847</v>
      </c>
      <c r="R610" t="s">
        <v>841</v>
      </c>
      <c r="S610" t="s">
        <v>841</v>
      </c>
      <c r="T610" t="s">
        <v>540</v>
      </c>
      <c r="U610" t="s">
        <v>642</v>
      </c>
    </row>
    <row r="611" spans="2:21" x14ac:dyDescent="0.25">
      <c r="B611" s="3" t="s">
        <v>282</v>
      </c>
      <c r="C611" t="s">
        <v>463</v>
      </c>
      <c r="D611" t="str">
        <f>IF(_xlfn.XLOOKUP(C611, ABZ!A:A, ABZ!B:B, "", 0) = 0, "", _xlfn.XLOOKUP(C611, ABZ!A:A, ABZ!B:B, "", 0))</f>
        <v>D2C-MarketingContent</v>
      </c>
      <c r="E611" t="s">
        <v>834</v>
      </c>
      <c r="F611" t="s">
        <v>527</v>
      </c>
      <c r="I611">
        <f t="shared" si="27"/>
        <v>1</v>
      </c>
      <c r="L611" s="9">
        <v>46084</v>
      </c>
      <c r="M611" s="9">
        <v>46085</v>
      </c>
      <c r="N611" s="18">
        <f t="shared" ca="1" si="28"/>
        <v>1</v>
      </c>
      <c r="O611" s="9">
        <v>46086</v>
      </c>
      <c r="P611" s="9" t="str">
        <f t="shared" si="29"/>
        <v>✅ Ja</v>
      </c>
      <c r="Q611" t="s">
        <v>836</v>
      </c>
      <c r="S611" t="s">
        <v>841</v>
      </c>
      <c r="T611" t="s">
        <v>540</v>
      </c>
      <c r="U611" t="s">
        <v>642</v>
      </c>
    </row>
    <row r="612" spans="2:21" x14ac:dyDescent="0.25">
      <c r="B612" s="3" t="s">
        <v>282</v>
      </c>
      <c r="C612" t="s">
        <v>463</v>
      </c>
      <c r="D612" t="str">
        <f>IF(_xlfn.XLOOKUP(C612, ABZ!A:A, ABZ!B:B, "", 0) = 0, "", _xlfn.XLOOKUP(C612, ABZ!A:A, ABZ!B:B, "", 0))</f>
        <v>D2C-MarketingContent</v>
      </c>
      <c r="E612" t="s">
        <v>834</v>
      </c>
      <c r="F612" t="s">
        <v>531</v>
      </c>
      <c r="I612">
        <f t="shared" si="27"/>
        <v>1</v>
      </c>
      <c r="L612" s="9">
        <v>46084</v>
      </c>
      <c r="M612" s="9">
        <v>46085</v>
      </c>
      <c r="N612" s="18">
        <f t="shared" ca="1" si="28"/>
        <v>1</v>
      </c>
      <c r="O612" s="9">
        <v>46086</v>
      </c>
      <c r="P612" s="9" t="str">
        <f t="shared" si="29"/>
        <v>✅ Ja</v>
      </c>
      <c r="Q612" t="s">
        <v>843</v>
      </c>
      <c r="R612" t="s">
        <v>840</v>
      </c>
      <c r="S612" t="s">
        <v>841</v>
      </c>
      <c r="T612" t="s">
        <v>540</v>
      </c>
      <c r="U612" t="s">
        <v>642</v>
      </c>
    </row>
    <row r="613" spans="2:21" x14ac:dyDescent="0.25">
      <c r="B613" s="3" t="s">
        <v>282</v>
      </c>
      <c r="C613" t="s">
        <v>463</v>
      </c>
      <c r="D613" t="str">
        <f>IF(_xlfn.XLOOKUP(C613, ABZ!A:A, ABZ!B:B, "", 0) = 0, "", _xlfn.XLOOKUP(C613, ABZ!A:A, ABZ!B:B, "", 0))</f>
        <v>D2C-MarketingContent</v>
      </c>
      <c r="E613" t="s">
        <v>834</v>
      </c>
      <c r="F613" t="s">
        <v>530</v>
      </c>
      <c r="I613">
        <f t="shared" si="27"/>
        <v>1</v>
      </c>
      <c r="L613" s="9">
        <v>46084</v>
      </c>
      <c r="M613" s="9">
        <v>46085</v>
      </c>
      <c r="N613" s="18">
        <f t="shared" ca="1" si="28"/>
        <v>1</v>
      </c>
      <c r="O613" s="9">
        <v>46086</v>
      </c>
      <c r="P613" s="9" t="str">
        <f t="shared" si="29"/>
        <v>✅ Ja</v>
      </c>
      <c r="Q613" t="s">
        <v>839</v>
      </c>
      <c r="S613" t="s">
        <v>841</v>
      </c>
      <c r="T613" t="s">
        <v>540</v>
      </c>
      <c r="U613" t="s">
        <v>643</v>
      </c>
    </row>
    <row r="614" spans="2:21" x14ac:dyDescent="0.25">
      <c r="B614" s="3" t="s">
        <v>283</v>
      </c>
      <c r="C614" t="s">
        <v>513</v>
      </c>
      <c r="D614" t="str">
        <f>IF(_xlfn.XLOOKUP(C614, ABZ!A:A, ABZ!B:B, "", 0) = 0, "", _xlfn.XLOOKUP(C614, ABZ!A:A, ABZ!B:B, "", 0))</f>
        <v>D2C-MarketingContent</v>
      </c>
      <c r="E614" t="s">
        <v>834</v>
      </c>
      <c r="F614" t="s">
        <v>529</v>
      </c>
      <c r="I614">
        <f t="shared" si="27"/>
        <v>0</v>
      </c>
      <c r="L614" s="9">
        <v>46084</v>
      </c>
      <c r="M614" s="9">
        <v>46087</v>
      </c>
      <c r="N614" s="18">
        <f t="shared" ca="1" si="28"/>
        <v>3</v>
      </c>
      <c r="O614" s="9">
        <v>46087</v>
      </c>
      <c r="P614" s="9" t="str">
        <f t="shared" si="29"/>
        <v>✅ Ja</v>
      </c>
      <c r="Q614" t="s">
        <v>846</v>
      </c>
      <c r="S614" t="s">
        <v>841</v>
      </c>
      <c r="T614" t="s">
        <v>540</v>
      </c>
      <c r="U614" t="s">
        <v>642</v>
      </c>
    </row>
    <row r="615" spans="2:21" x14ac:dyDescent="0.25">
      <c r="B615" s="3" t="s">
        <v>283</v>
      </c>
      <c r="C615" t="s">
        <v>513</v>
      </c>
      <c r="D615" t="str">
        <f>IF(_xlfn.XLOOKUP(C615, ABZ!A:A, ABZ!B:B, "", 0) = 0, "", _xlfn.XLOOKUP(C615, ABZ!A:A, ABZ!B:B, "", 0))</f>
        <v>D2C-MarketingContent</v>
      </c>
      <c r="E615" t="s">
        <v>834</v>
      </c>
      <c r="F615" t="s">
        <v>530</v>
      </c>
      <c r="I615">
        <f t="shared" si="27"/>
        <v>0</v>
      </c>
      <c r="L615" s="9">
        <v>46084</v>
      </c>
      <c r="M615" s="9">
        <v>46087</v>
      </c>
      <c r="N615" s="18">
        <f t="shared" ca="1" si="28"/>
        <v>3</v>
      </c>
      <c r="O615" s="9">
        <v>46087</v>
      </c>
      <c r="P615" s="9" t="str">
        <f t="shared" si="29"/>
        <v>✅ Ja</v>
      </c>
      <c r="Q615" t="s">
        <v>839</v>
      </c>
      <c r="S615" t="s">
        <v>841</v>
      </c>
      <c r="T615" t="s">
        <v>540</v>
      </c>
      <c r="U615" t="s">
        <v>643</v>
      </c>
    </row>
    <row r="616" spans="2:21" x14ac:dyDescent="0.25">
      <c r="B616" s="3" t="s">
        <v>283</v>
      </c>
      <c r="C616" t="s">
        <v>513</v>
      </c>
      <c r="D616" t="str">
        <f>IF(_xlfn.XLOOKUP(C616, ABZ!A:A, ABZ!B:B, "", 0) = 0, "", _xlfn.XLOOKUP(C616, ABZ!A:A, ABZ!B:B, "", 0))</f>
        <v>D2C-MarketingContent</v>
      </c>
      <c r="E616" t="s">
        <v>834</v>
      </c>
      <c r="F616" t="s">
        <v>531</v>
      </c>
      <c r="I616">
        <f t="shared" si="27"/>
        <v>0</v>
      </c>
      <c r="L616" s="9">
        <v>46084</v>
      </c>
      <c r="M616" s="9">
        <v>46087</v>
      </c>
      <c r="N616" s="18">
        <f t="shared" ca="1" si="28"/>
        <v>3</v>
      </c>
      <c r="O616" s="9">
        <v>46087</v>
      </c>
      <c r="P616" s="9" t="str">
        <f t="shared" si="29"/>
        <v>✅ Ja</v>
      </c>
      <c r="Q616" t="s">
        <v>843</v>
      </c>
      <c r="R616" t="s">
        <v>840</v>
      </c>
      <c r="S616" t="s">
        <v>841</v>
      </c>
      <c r="T616" t="s">
        <v>540</v>
      </c>
      <c r="U616" t="s">
        <v>642</v>
      </c>
    </row>
    <row r="617" spans="2:21" x14ac:dyDescent="0.25">
      <c r="B617" s="3" t="s">
        <v>283</v>
      </c>
      <c r="C617" t="s">
        <v>513</v>
      </c>
      <c r="D617" t="str">
        <f>IF(_xlfn.XLOOKUP(C617, ABZ!A:A, ABZ!B:B, "", 0) = 0, "", _xlfn.XLOOKUP(C617, ABZ!A:A, ABZ!B:B, "", 0))</f>
        <v>D2C-MarketingContent</v>
      </c>
      <c r="E617" t="s">
        <v>834</v>
      </c>
      <c r="F617" t="s">
        <v>528</v>
      </c>
      <c r="I617">
        <f t="shared" si="27"/>
        <v>0</v>
      </c>
      <c r="L617" s="9">
        <v>46084</v>
      </c>
      <c r="M617" s="9">
        <v>46087</v>
      </c>
      <c r="N617" s="18">
        <f t="shared" ca="1" si="28"/>
        <v>3</v>
      </c>
      <c r="O617" s="9">
        <v>46087</v>
      </c>
      <c r="P617" s="9" t="str">
        <f t="shared" si="29"/>
        <v>✅ Ja</v>
      </c>
      <c r="Q617" t="s">
        <v>847</v>
      </c>
      <c r="R617" t="s">
        <v>841</v>
      </c>
      <c r="S617" t="s">
        <v>841</v>
      </c>
      <c r="T617" t="s">
        <v>540</v>
      </c>
      <c r="U617" t="s">
        <v>642</v>
      </c>
    </row>
    <row r="618" spans="2:21" x14ac:dyDescent="0.25">
      <c r="B618" s="3" t="s">
        <v>283</v>
      </c>
      <c r="C618" t="s">
        <v>513</v>
      </c>
      <c r="D618" t="str">
        <f>IF(_xlfn.XLOOKUP(C618, ABZ!A:A, ABZ!B:B, "", 0) = 0, "", _xlfn.XLOOKUP(C618, ABZ!A:A, ABZ!B:B, "", 0))</f>
        <v>D2C-MarketingContent</v>
      </c>
      <c r="E618" t="s">
        <v>834</v>
      </c>
      <c r="F618" t="s">
        <v>527</v>
      </c>
      <c r="I618">
        <f t="shared" si="27"/>
        <v>0</v>
      </c>
      <c r="L618" s="9">
        <v>46084</v>
      </c>
      <c r="M618" s="9">
        <v>46087</v>
      </c>
      <c r="N618" s="18">
        <f t="shared" ca="1" si="28"/>
        <v>3</v>
      </c>
      <c r="O618" s="9">
        <v>46087</v>
      </c>
      <c r="P618" s="9" t="str">
        <f t="shared" si="29"/>
        <v>✅ Ja</v>
      </c>
      <c r="Q618" t="s">
        <v>836</v>
      </c>
      <c r="S618" t="s">
        <v>841</v>
      </c>
      <c r="T618" t="s">
        <v>540</v>
      </c>
      <c r="U618" t="s">
        <v>642</v>
      </c>
    </row>
    <row r="619" spans="2:21" x14ac:dyDescent="0.25">
      <c r="B619" s="3" t="s">
        <v>284</v>
      </c>
      <c r="C619" t="s">
        <v>478</v>
      </c>
      <c r="D619" t="str">
        <f>IF(_xlfn.XLOOKUP(C619, ABZ!A:A, ABZ!B:B, "", 0) = 0, "", _xlfn.XLOOKUP(C619, ABZ!A:A, ABZ!B:B, "", 0))</f>
        <v>D2C-MarketingContent</v>
      </c>
      <c r="E619" t="s">
        <v>834</v>
      </c>
      <c r="F619" t="s">
        <v>529</v>
      </c>
      <c r="I619">
        <f t="shared" si="27"/>
        <v>1</v>
      </c>
      <c r="L619" s="9">
        <v>46084</v>
      </c>
      <c r="M619" s="9">
        <v>46085</v>
      </c>
      <c r="N619" s="18">
        <f t="shared" ca="1" si="28"/>
        <v>1</v>
      </c>
      <c r="O619" s="9">
        <v>46086</v>
      </c>
      <c r="P619" s="9" t="str">
        <f t="shared" si="29"/>
        <v>✅ Ja</v>
      </c>
      <c r="Q619" t="s">
        <v>837</v>
      </c>
      <c r="S619" t="s">
        <v>841</v>
      </c>
      <c r="T619" t="s">
        <v>540</v>
      </c>
      <c r="U619" t="s">
        <v>644</v>
      </c>
    </row>
    <row r="620" spans="2:21" x14ac:dyDescent="0.25">
      <c r="B620" s="3" t="s">
        <v>285</v>
      </c>
      <c r="C620" t="s">
        <v>460</v>
      </c>
      <c r="D620" t="str">
        <f>IF(_xlfn.XLOOKUP(C620, ABZ!A:A, ABZ!B:B, "", 0) = 0, "", _xlfn.XLOOKUP(C620, ABZ!A:A, ABZ!B:B, "", 0))</f>
        <v>ENT-PM-F-OS</v>
      </c>
      <c r="E620" t="s">
        <v>835</v>
      </c>
      <c r="F620" t="s">
        <v>532</v>
      </c>
      <c r="H620">
        <v>1</v>
      </c>
      <c r="I620">
        <f t="shared" si="27"/>
        <v>1</v>
      </c>
      <c r="L620" s="9">
        <v>46084</v>
      </c>
      <c r="M620" s="9">
        <v>46084</v>
      </c>
      <c r="N620" s="18">
        <f t="shared" ca="1" si="28"/>
        <v>0</v>
      </c>
      <c r="O620" s="9">
        <v>46084</v>
      </c>
      <c r="P620" s="9" t="str">
        <f t="shared" si="29"/>
        <v>✅ Ja</v>
      </c>
      <c r="Q620" t="s">
        <v>838</v>
      </c>
      <c r="S620" t="s">
        <v>838</v>
      </c>
      <c r="T620" t="s">
        <v>540</v>
      </c>
      <c r="U620" t="s">
        <v>645</v>
      </c>
    </row>
    <row r="621" spans="2:21" x14ac:dyDescent="0.25">
      <c r="B621" s="3" t="s">
        <v>286</v>
      </c>
      <c r="C621" t="s">
        <v>460</v>
      </c>
      <c r="D621" t="str">
        <f>IF(_xlfn.XLOOKUP(C621, ABZ!A:A, ABZ!B:B, "", 0) = 0, "", _xlfn.XLOOKUP(C621, ABZ!A:A, ABZ!B:B, "", 0))</f>
        <v>ENT-PM-F-OS</v>
      </c>
      <c r="E621" t="s">
        <v>834</v>
      </c>
      <c r="F621" t="s">
        <v>529</v>
      </c>
      <c r="I621">
        <f t="shared" si="27"/>
        <v>1</v>
      </c>
      <c r="L621" s="9">
        <v>46084</v>
      </c>
      <c r="M621" s="9">
        <v>46084</v>
      </c>
      <c r="N621" s="18">
        <f t="shared" ca="1" si="28"/>
        <v>0</v>
      </c>
      <c r="O621" s="9">
        <v>46085</v>
      </c>
      <c r="P621" s="9" t="str">
        <f t="shared" si="29"/>
        <v>✅ Ja</v>
      </c>
      <c r="Q621" t="s">
        <v>845</v>
      </c>
      <c r="S621" t="s">
        <v>838</v>
      </c>
      <c r="T621" t="s">
        <v>540</v>
      </c>
      <c r="U621" t="s">
        <v>645</v>
      </c>
    </row>
    <row r="622" spans="2:21" ht="15.75" customHeight="1" x14ac:dyDescent="0.25">
      <c r="B622" s="3" t="s">
        <v>287</v>
      </c>
      <c r="C622" t="s">
        <v>463</v>
      </c>
      <c r="D622" t="str">
        <f>IF(_xlfn.XLOOKUP(C622, ABZ!A:A, ABZ!B:B, "", 0) = 0, "", _xlfn.XLOOKUP(C622, ABZ!A:A, ABZ!B:B, "", 0))</f>
        <v>D2C-MarketingContent</v>
      </c>
      <c r="E622" t="s">
        <v>834</v>
      </c>
      <c r="F622" t="s">
        <v>529</v>
      </c>
      <c r="I622">
        <f t="shared" si="27"/>
        <v>1</v>
      </c>
      <c r="L622" s="9">
        <v>46084</v>
      </c>
      <c r="M622" s="9">
        <v>46085</v>
      </c>
      <c r="N622" s="18">
        <f t="shared" ca="1" si="28"/>
        <v>1</v>
      </c>
      <c r="O622" s="9">
        <v>46086</v>
      </c>
      <c r="P622" s="9" t="str">
        <f t="shared" si="29"/>
        <v>✅ Ja</v>
      </c>
      <c r="Q622" t="s">
        <v>837</v>
      </c>
      <c r="S622" t="s">
        <v>841</v>
      </c>
      <c r="T622" t="s">
        <v>540</v>
      </c>
      <c r="U622" t="s">
        <v>642</v>
      </c>
    </row>
    <row r="623" spans="2:21" x14ac:dyDescent="0.25">
      <c r="B623" s="3" t="s">
        <v>287</v>
      </c>
      <c r="C623" t="s">
        <v>463</v>
      </c>
      <c r="D623" t="str">
        <f>IF(_xlfn.XLOOKUP(C623, ABZ!A:A, ABZ!B:B, "", 0) = 0, "", _xlfn.XLOOKUP(C623, ABZ!A:A, ABZ!B:B, "", 0))</f>
        <v>D2C-MarketingContent</v>
      </c>
      <c r="E623" t="s">
        <v>834</v>
      </c>
      <c r="F623" t="s">
        <v>528</v>
      </c>
      <c r="I623">
        <f t="shared" si="27"/>
        <v>1</v>
      </c>
      <c r="L623" s="9">
        <v>46084</v>
      </c>
      <c r="M623" s="9">
        <v>46085</v>
      </c>
      <c r="N623" s="18">
        <f t="shared" ca="1" si="28"/>
        <v>1</v>
      </c>
      <c r="O623" s="9">
        <v>46086</v>
      </c>
      <c r="P623" s="9" t="str">
        <f t="shared" si="29"/>
        <v>✅ Ja</v>
      </c>
      <c r="Q623" t="s">
        <v>841</v>
      </c>
      <c r="S623" t="s">
        <v>841</v>
      </c>
      <c r="T623" t="s">
        <v>540</v>
      </c>
      <c r="U623" t="s">
        <v>642</v>
      </c>
    </row>
    <row r="624" spans="2:21" x14ac:dyDescent="0.25">
      <c r="B624" s="3" t="s">
        <v>287</v>
      </c>
      <c r="C624" t="s">
        <v>463</v>
      </c>
      <c r="D624" t="str">
        <f>IF(_xlfn.XLOOKUP(C624, ABZ!A:A, ABZ!B:B, "", 0) = 0, "", _xlfn.XLOOKUP(C624, ABZ!A:A, ABZ!B:B, "", 0))</f>
        <v>D2C-MarketingContent</v>
      </c>
      <c r="E624" t="s">
        <v>834</v>
      </c>
      <c r="F624" t="s">
        <v>527</v>
      </c>
      <c r="I624">
        <f t="shared" si="27"/>
        <v>1</v>
      </c>
      <c r="L624" s="9">
        <v>46084</v>
      </c>
      <c r="M624" s="9">
        <v>46085</v>
      </c>
      <c r="N624" s="18">
        <f t="shared" ca="1" si="28"/>
        <v>1</v>
      </c>
      <c r="O624" s="9">
        <v>46086</v>
      </c>
      <c r="P624" s="9" t="str">
        <f t="shared" si="29"/>
        <v>✅ Ja</v>
      </c>
      <c r="Q624" t="s">
        <v>836</v>
      </c>
      <c r="S624" t="s">
        <v>841</v>
      </c>
      <c r="T624" t="s">
        <v>540</v>
      </c>
      <c r="U624" t="s">
        <v>642</v>
      </c>
    </row>
    <row r="625" spans="2:21" x14ac:dyDescent="0.25">
      <c r="B625" s="3" t="s">
        <v>287</v>
      </c>
      <c r="C625" t="s">
        <v>463</v>
      </c>
      <c r="D625" t="str">
        <f>IF(_xlfn.XLOOKUP(C625, ABZ!A:A, ABZ!B:B, "", 0) = 0, "", _xlfn.XLOOKUP(C625, ABZ!A:A, ABZ!B:B, "", 0))</f>
        <v>D2C-MarketingContent</v>
      </c>
      <c r="E625" t="s">
        <v>834</v>
      </c>
      <c r="F625" t="s">
        <v>531</v>
      </c>
      <c r="I625">
        <f t="shared" si="27"/>
        <v>1</v>
      </c>
      <c r="L625" s="9">
        <v>46084</v>
      </c>
      <c r="M625" s="9">
        <v>46085</v>
      </c>
      <c r="N625" s="18">
        <f t="shared" ca="1" si="28"/>
        <v>1</v>
      </c>
      <c r="O625" s="9">
        <v>46086</v>
      </c>
      <c r="P625" s="9" t="str">
        <f t="shared" si="29"/>
        <v>✅ Ja</v>
      </c>
      <c r="Q625" t="s">
        <v>840</v>
      </c>
      <c r="S625" t="s">
        <v>841</v>
      </c>
      <c r="T625" t="s">
        <v>540</v>
      </c>
      <c r="U625" t="s">
        <v>642</v>
      </c>
    </row>
    <row r="626" spans="2:21" x14ac:dyDescent="0.25">
      <c r="B626" s="3" t="s">
        <v>287</v>
      </c>
      <c r="C626" t="s">
        <v>463</v>
      </c>
      <c r="D626" t="str">
        <f>IF(_xlfn.XLOOKUP(C626, ABZ!A:A, ABZ!B:B, "", 0) = 0, "", _xlfn.XLOOKUP(C626, ABZ!A:A, ABZ!B:B, "", 0))</f>
        <v>D2C-MarketingContent</v>
      </c>
      <c r="E626" t="s">
        <v>834</v>
      </c>
      <c r="F626" t="s">
        <v>530</v>
      </c>
      <c r="I626">
        <f t="shared" si="27"/>
        <v>1</v>
      </c>
      <c r="L626" s="9">
        <v>46084</v>
      </c>
      <c r="M626" s="9">
        <v>46085</v>
      </c>
      <c r="N626" s="18">
        <f t="shared" ca="1" si="28"/>
        <v>1</v>
      </c>
      <c r="O626" s="9">
        <v>46086</v>
      </c>
      <c r="P626" s="9" t="str">
        <f t="shared" si="29"/>
        <v>✅ Ja</v>
      </c>
      <c r="Q626" t="s">
        <v>839</v>
      </c>
      <c r="S626" t="s">
        <v>841</v>
      </c>
      <c r="T626" t="s">
        <v>540</v>
      </c>
      <c r="U626" t="s">
        <v>643</v>
      </c>
    </row>
    <row r="627" spans="2:21" x14ac:dyDescent="0.25">
      <c r="B627" t="s">
        <v>288</v>
      </c>
      <c r="C627" t="s">
        <v>457</v>
      </c>
      <c r="D627" t="str">
        <f>IF(_xlfn.XLOOKUP(C627, ABZ!A:A, ABZ!B:B, "", 0) = 0, "", _xlfn.XLOOKUP(C627, ABZ!A:A, ABZ!B:B, "", 0))</f>
        <v>VTR-CS-SER-PartnerCommunication</v>
      </c>
      <c r="E627" t="s">
        <v>834</v>
      </c>
      <c r="F627" t="s">
        <v>529</v>
      </c>
      <c r="I627">
        <f t="shared" si="27"/>
        <v>0</v>
      </c>
      <c r="J627" t="s">
        <v>875</v>
      </c>
      <c r="K627" t="s">
        <v>865</v>
      </c>
      <c r="L627" s="9">
        <v>46085</v>
      </c>
      <c r="M627" s="9">
        <v>46101</v>
      </c>
      <c r="N627" s="18">
        <f t="shared" ca="1" si="28"/>
        <v>16</v>
      </c>
      <c r="O627" s="9">
        <v>46101</v>
      </c>
      <c r="P627" s="9" t="str">
        <f t="shared" si="29"/>
        <v>✅ Ja</v>
      </c>
      <c r="Q627" t="s">
        <v>837</v>
      </c>
      <c r="S627" t="s">
        <v>839</v>
      </c>
      <c r="T627" t="s">
        <v>540</v>
      </c>
      <c r="U627" t="s">
        <v>646</v>
      </c>
    </row>
    <row r="628" spans="2:21" x14ac:dyDescent="0.25">
      <c r="B628" t="s">
        <v>289</v>
      </c>
      <c r="C628" t="s">
        <v>457</v>
      </c>
      <c r="D628" t="str">
        <f>IF(_xlfn.XLOOKUP(C628, ABZ!A:A, ABZ!B:B, "", 0) = 0, "", _xlfn.XLOOKUP(C628, ABZ!A:A, ABZ!B:B, "", 0))</f>
        <v>VTR-CS-SER-PartnerCommunication</v>
      </c>
      <c r="E628" t="s">
        <v>834</v>
      </c>
      <c r="F628" t="s">
        <v>529</v>
      </c>
      <c r="I628">
        <f t="shared" si="27"/>
        <v>0</v>
      </c>
      <c r="J628" t="s">
        <v>875</v>
      </c>
      <c r="K628" t="s">
        <v>865</v>
      </c>
      <c r="L628" s="9">
        <v>46085</v>
      </c>
      <c r="M628" s="9">
        <v>46101</v>
      </c>
      <c r="N628" s="18">
        <f t="shared" ca="1" si="28"/>
        <v>16</v>
      </c>
      <c r="O628" s="9">
        <v>46101</v>
      </c>
      <c r="P628" s="9" t="str">
        <f t="shared" si="29"/>
        <v>✅ Ja</v>
      </c>
      <c r="Q628" t="s">
        <v>837</v>
      </c>
      <c r="S628" t="s">
        <v>839</v>
      </c>
      <c r="T628" t="s">
        <v>540</v>
      </c>
      <c r="U628" t="s">
        <v>646</v>
      </c>
    </row>
    <row r="629" spans="2:21" x14ac:dyDescent="0.25">
      <c r="B629" t="s">
        <v>290</v>
      </c>
      <c r="C629" t="s">
        <v>457</v>
      </c>
      <c r="D629" t="str">
        <f>IF(_xlfn.XLOOKUP(C629, ABZ!A:A, ABZ!B:B, "", 0) = 0, "", _xlfn.XLOOKUP(C629, ABZ!A:A, ABZ!B:B, "", 0))</f>
        <v>VTR-CS-SER-PartnerCommunication</v>
      </c>
      <c r="E629" t="s">
        <v>834</v>
      </c>
      <c r="F629" t="s">
        <v>529</v>
      </c>
      <c r="I629">
        <f t="shared" si="27"/>
        <v>0</v>
      </c>
      <c r="J629" t="s">
        <v>875</v>
      </c>
      <c r="K629" t="s">
        <v>865</v>
      </c>
      <c r="L629" s="9">
        <v>46085</v>
      </c>
      <c r="M629" s="9">
        <v>46101</v>
      </c>
      <c r="N629" s="18">
        <f t="shared" ca="1" si="28"/>
        <v>16</v>
      </c>
      <c r="O629" s="9">
        <v>46101</v>
      </c>
      <c r="P629" s="9" t="str">
        <f t="shared" si="29"/>
        <v>✅ Ja</v>
      </c>
      <c r="Q629" t="s">
        <v>837</v>
      </c>
      <c r="S629" t="s">
        <v>839</v>
      </c>
      <c r="T629" t="s">
        <v>540</v>
      </c>
      <c r="U629" t="s">
        <v>646</v>
      </c>
    </row>
    <row r="630" spans="2:21" x14ac:dyDescent="0.25">
      <c r="B630" t="s">
        <v>291</v>
      </c>
      <c r="C630" t="s">
        <v>457</v>
      </c>
      <c r="D630" t="str">
        <f>IF(_xlfn.XLOOKUP(C630, ABZ!A:A, ABZ!B:B, "", 0) = 0, "", _xlfn.XLOOKUP(C630, ABZ!A:A, ABZ!B:B, "", 0))</f>
        <v>VTR-CS-SER-PartnerCommunication</v>
      </c>
      <c r="E630" t="s">
        <v>834</v>
      </c>
      <c r="F630" t="s">
        <v>529</v>
      </c>
      <c r="I630">
        <f t="shared" si="27"/>
        <v>0</v>
      </c>
      <c r="J630" t="s">
        <v>875</v>
      </c>
      <c r="K630" t="s">
        <v>865</v>
      </c>
      <c r="L630" s="9">
        <v>46085</v>
      </c>
      <c r="M630" s="9">
        <v>46101</v>
      </c>
      <c r="N630" s="18">
        <f t="shared" ca="1" si="28"/>
        <v>16</v>
      </c>
      <c r="O630" s="9">
        <v>46101</v>
      </c>
      <c r="P630" s="9" t="str">
        <f t="shared" si="29"/>
        <v>✅ Ja</v>
      </c>
      <c r="Q630" t="s">
        <v>837</v>
      </c>
      <c r="S630" t="s">
        <v>839</v>
      </c>
      <c r="T630" t="s">
        <v>540</v>
      </c>
      <c r="U630" t="s">
        <v>646</v>
      </c>
    </row>
    <row r="631" spans="2:21" x14ac:dyDescent="0.25">
      <c r="B631" t="s">
        <v>292</v>
      </c>
      <c r="C631" t="s">
        <v>457</v>
      </c>
      <c r="D631" t="str">
        <f>IF(_xlfn.XLOOKUP(C631, ABZ!A:A, ABZ!B:B, "", 0) = 0, "", _xlfn.XLOOKUP(C631, ABZ!A:A, ABZ!B:B, "", 0))</f>
        <v>VTR-CS-SER-PartnerCommunication</v>
      </c>
      <c r="E631" t="s">
        <v>834</v>
      </c>
      <c r="F631" t="s">
        <v>529</v>
      </c>
      <c r="I631">
        <f t="shared" si="27"/>
        <v>0</v>
      </c>
      <c r="J631" t="s">
        <v>875</v>
      </c>
      <c r="K631" t="s">
        <v>865</v>
      </c>
      <c r="L631" s="9">
        <v>46085</v>
      </c>
      <c r="M631" s="9">
        <v>46101</v>
      </c>
      <c r="N631" s="18">
        <f t="shared" ca="1" si="28"/>
        <v>16</v>
      </c>
      <c r="O631" s="9">
        <v>46101</v>
      </c>
      <c r="P631" s="9" t="str">
        <f t="shared" si="29"/>
        <v>✅ Ja</v>
      </c>
      <c r="Q631" t="s">
        <v>837</v>
      </c>
      <c r="S631" t="s">
        <v>839</v>
      </c>
      <c r="T631" t="s">
        <v>540</v>
      </c>
      <c r="U631" t="s">
        <v>646</v>
      </c>
    </row>
    <row r="632" spans="2:21" x14ac:dyDescent="0.25">
      <c r="B632" t="s">
        <v>293</v>
      </c>
      <c r="C632" t="s">
        <v>457</v>
      </c>
      <c r="D632" t="str">
        <f>IF(_xlfn.XLOOKUP(C632, ABZ!A:A, ABZ!B:B, "", 0) = 0, "", _xlfn.XLOOKUP(C632, ABZ!A:A, ABZ!B:B, "", 0))</f>
        <v>VTR-CS-SER-PartnerCommunication</v>
      </c>
      <c r="E632" t="s">
        <v>834</v>
      </c>
      <c r="F632" t="s">
        <v>529</v>
      </c>
      <c r="I632">
        <f t="shared" si="27"/>
        <v>0</v>
      </c>
      <c r="J632" t="s">
        <v>875</v>
      </c>
      <c r="K632" t="s">
        <v>865</v>
      </c>
      <c r="L632" s="9">
        <v>46085</v>
      </c>
      <c r="M632" s="9">
        <v>46101</v>
      </c>
      <c r="N632" s="18">
        <f t="shared" ca="1" si="28"/>
        <v>16</v>
      </c>
      <c r="O632" s="9">
        <v>46101</v>
      </c>
      <c r="P632" s="9" t="str">
        <f t="shared" si="29"/>
        <v>✅ Ja</v>
      </c>
      <c r="Q632" t="s">
        <v>845</v>
      </c>
      <c r="S632" t="s">
        <v>839</v>
      </c>
      <c r="T632" t="s">
        <v>540</v>
      </c>
      <c r="U632" t="s">
        <v>646</v>
      </c>
    </row>
    <row r="633" spans="2:21" x14ac:dyDescent="0.25">
      <c r="B633" t="s">
        <v>294</v>
      </c>
      <c r="C633" t="s">
        <v>457</v>
      </c>
      <c r="D633" t="str">
        <f>IF(_xlfn.XLOOKUP(C633, ABZ!A:A, ABZ!B:B, "", 0) = 0, "", _xlfn.XLOOKUP(C633, ABZ!A:A, ABZ!B:B, "", 0))</f>
        <v>VTR-CS-SER-PartnerCommunication</v>
      </c>
      <c r="E633" t="s">
        <v>834</v>
      </c>
      <c r="F633" t="s">
        <v>529</v>
      </c>
      <c r="I633">
        <f t="shared" si="27"/>
        <v>0</v>
      </c>
      <c r="J633" t="s">
        <v>875</v>
      </c>
      <c r="K633" t="s">
        <v>865</v>
      </c>
      <c r="L633" s="9">
        <v>46085</v>
      </c>
      <c r="M633" s="9">
        <v>46101</v>
      </c>
      <c r="N633" s="18">
        <f t="shared" ca="1" si="28"/>
        <v>16</v>
      </c>
      <c r="O633" s="9">
        <v>46101</v>
      </c>
      <c r="P633" s="9" t="str">
        <f t="shared" si="29"/>
        <v>✅ Ja</v>
      </c>
      <c r="Q633" t="s">
        <v>845</v>
      </c>
      <c r="S633" t="s">
        <v>839</v>
      </c>
      <c r="T633" t="s">
        <v>540</v>
      </c>
      <c r="U633" t="s">
        <v>646</v>
      </c>
    </row>
    <row r="634" spans="2:21" x14ac:dyDescent="0.25">
      <c r="B634" t="s">
        <v>295</v>
      </c>
      <c r="C634" t="s">
        <v>457</v>
      </c>
      <c r="D634" t="str">
        <f>IF(_xlfn.XLOOKUP(C634, ABZ!A:A, ABZ!B:B, "", 0) = 0, "", _xlfn.XLOOKUP(C634, ABZ!A:A, ABZ!B:B, "", 0))</f>
        <v>VTR-CS-SER-PartnerCommunication</v>
      </c>
      <c r="E634" t="s">
        <v>834</v>
      </c>
      <c r="F634" t="s">
        <v>529</v>
      </c>
      <c r="I634">
        <f t="shared" si="27"/>
        <v>0</v>
      </c>
      <c r="J634" t="s">
        <v>875</v>
      </c>
      <c r="K634" t="s">
        <v>865</v>
      </c>
      <c r="L634" s="9">
        <v>46085</v>
      </c>
      <c r="M634" s="9">
        <v>46101</v>
      </c>
      <c r="N634" s="18">
        <f t="shared" ca="1" si="28"/>
        <v>16</v>
      </c>
      <c r="O634" s="9">
        <v>46101</v>
      </c>
      <c r="P634" s="9" t="str">
        <f t="shared" si="29"/>
        <v>✅ Ja</v>
      </c>
      <c r="Q634" t="s">
        <v>845</v>
      </c>
      <c r="S634" t="s">
        <v>839</v>
      </c>
      <c r="T634" t="s">
        <v>540</v>
      </c>
      <c r="U634" t="s">
        <v>646</v>
      </c>
    </row>
    <row r="635" spans="2:21" x14ac:dyDescent="0.25">
      <c r="B635" t="s">
        <v>296</v>
      </c>
      <c r="C635" t="s">
        <v>457</v>
      </c>
      <c r="D635" t="str">
        <f>IF(_xlfn.XLOOKUP(C635, ABZ!A:A, ABZ!B:B, "", 0) = 0, "", _xlfn.XLOOKUP(C635, ABZ!A:A, ABZ!B:B, "", 0))</f>
        <v>VTR-CS-SER-PartnerCommunication</v>
      </c>
      <c r="E635" t="s">
        <v>834</v>
      </c>
      <c r="F635" t="s">
        <v>529</v>
      </c>
      <c r="I635">
        <f t="shared" si="27"/>
        <v>0</v>
      </c>
      <c r="J635" t="s">
        <v>875</v>
      </c>
      <c r="K635" t="s">
        <v>865</v>
      </c>
      <c r="L635" s="9">
        <v>46085</v>
      </c>
      <c r="M635" s="9">
        <v>46101</v>
      </c>
      <c r="N635" s="18">
        <f t="shared" ca="1" si="28"/>
        <v>16</v>
      </c>
      <c r="O635" s="9">
        <v>46101</v>
      </c>
      <c r="P635" s="9" t="str">
        <f t="shared" si="29"/>
        <v>✅ Ja</v>
      </c>
      <c r="Q635" t="s">
        <v>845</v>
      </c>
      <c r="S635" t="s">
        <v>839</v>
      </c>
      <c r="T635" t="s">
        <v>540</v>
      </c>
      <c r="U635" t="s">
        <v>646</v>
      </c>
    </row>
    <row r="636" spans="2:21" x14ac:dyDescent="0.25">
      <c r="B636" t="s">
        <v>297</v>
      </c>
      <c r="C636" t="s">
        <v>457</v>
      </c>
      <c r="D636" t="str">
        <f>IF(_xlfn.XLOOKUP(C636, ABZ!A:A, ABZ!B:B, "", 0) = 0, "", _xlfn.XLOOKUP(C636, ABZ!A:A, ABZ!B:B, "", 0))</f>
        <v>VTR-CS-SER-PartnerCommunication</v>
      </c>
      <c r="E636" t="s">
        <v>834</v>
      </c>
      <c r="F636" t="s">
        <v>529</v>
      </c>
      <c r="I636">
        <f t="shared" si="27"/>
        <v>0</v>
      </c>
      <c r="J636" t="s">
        <v>875</v>
      </c>
      <c r="K636" t="s">
        <v>865</v>
      </c>
      <c r="L636" s="9">
        <v>46085</v>
      </c>
      <c r="M636" s="9">
        <v>46101</v>
      </c>
      <c r="N636" s="18">
        <f t="shared" ca="1" si="28"/>
        <v>16</v>
      </c>
      <c r="O636" s="9">
        <v>46101</v>
      </c>
      <c r="P636" s="9" t="str">
        <f t="shared" si="29"/>
        <v>✅ Ja</v>
      </c>
      <c r="Q636" t="s">
        <v>846</v>
      </c>
      <c r="S636" t="s">
        <v>839</v>
      </c>
      <c r="T636" t="s">
        <v>540</v>
      </c>
      <c r="U636" t="s">
        <v>646</v>
      </c>
    </row>
    <row r="637" spans="2:21" x14ac:dyDescent="0.25">
      <c r="B637" t="s">
        <v>298</v>
      </c>
      <c r="C637" t="s">
        <v>457</v>
      </c>
      <c r="D637" t="str">
        <f>IF(_xlfn.XLOOKUP(C637, ABZ!A:A, ABZ!B:B, "", 0) = 0, "", _xlfn.XLOOKUP(C637, ABZ!A:A, ABZ!B:B, "", 0))</f>
        <v>VTR-CS-SER-PartnerCommunication</v>
      </c>
      <c r="E637" t="s">
        <v>834</v>
      </c>
      <c r="F637" t="s">
        <v>529</v>
      </c>
      <c r="I637">
        <f t="shared" si="27"/>
        <v>0</v>
      </c>
      <c r="J637" t="s">
        <v>875</v>
      </c>
      <c r="K637" t="s">
        <v>865</v>
      </c>
      <c r="L637" s="9">
        <v>46085</v>
      </c>
      <c r="M637" s="9">
        <v>46101</v>
      </c>
      <c r="N637" s="18">
        <f t="shared" ca="1" si="28"/>
        <v>16</v>
      </c>
      <c r="O637" s="9">
        <v>46101</v>
      </c>
      <c r="P637" s="9" t="str">
        <f t="shared" si="29"/>
        <v>✅ Ja</v>
      </c>
      <c r="Q637" t="s">
        <v>846</v>
      </c>
      <c r="S637" t="s">
        <v>839</v>
      </c>
      <c r="T637" t="s">
        <v>540</v>
      </c>
      <c r="U637" t="s">
        <v>646</v>
      </c>
    </row>
    <row r="638" spans="2:21" x14ac:dyDescent="0.25">
      <c r="B638" t="s">
        <v>299</v>
      </c>
      <c r="C638" t="s">
        <v>457</v>
      </c>
      <c r="D638" t="str">
        <f>IF(_xlfn.XLOOKUP(C638, ABZ!A:A, ABZ!B:B, "", 0) = 0, "", _xlfn.XLOOKUP(C638, ABZ!A:A, ABZ!B:B, "", 0))</f>
        <v>VTR-CS-SER-PartnerCommunication</v>
      </c>
      <c r="E638" t="s">
        <v>834</v>
      </c>
      <c r="F638" t="s">
        <v>529</v>
      </c>
      <c r="I638">
        <f t="shared" si="27"/>
        <v>0</v>
      </c>
      <c r="J638" t="s">
        <v>875</v>
      </c>
      <c r="K638" t="s">
        <v>865</v>
      </c>
      <c r="L638" s="9">
        <v>46085</v>
      </c>
      <c r="M638" s="9">
        <v>46101</v>
      </c>
      <c r="N638" s="18">
        <f t="shared" ca="1" si="28"/>
        <v>16</v>
      </c>
      <c r="O638" s="9">
        <v>46101</v>
      </c>
      <c r="P638" s="9" t="str">
        <f t="shared" si="29"/>
        <v>✅ Ja</v>
      </c>
      <c r="Q638" t="s">
        <v>846</v>
      </c>
      <c r="S638" t="s">
        <v>839</v>
      </c>
      <c r="T638" t="s">
        <v>540</v>
      </c>
      <c r="U638" t="s">
        <v>646</v>
      </c>
    </row>
    <row r="639" spans="2:21" x14ac:dyDescent="0.25">
      <c r="B639" t="s">
        <v>300</v>
      </c>
      <c r="C639" t="s">
        <v>457</v>
      </c>
      <c r="D639" t="str">
        <f>IF(_xlfn.XLOOKUP(C639, ABZ!A:A, ABZ!B:B, "", 0) = 0, "", _xlfn.XLOOKUP(C639, ABZ!A:A, ABZ!B:B, "", 0))</f>
        <v>VTR-CS-SER-PartnerCommunication</v>
      </c>
      <c r="E639" t="s">
        <v>834</v>
      </c>
      <c r="F639" t="s">
        <v>529</v>
      </c>
      <c r="I639">
        <f t="shared" si="27"/>
        <v>0</v>
      </c>
      <c r="J639" t="s">
        <v>875</v>
      </c>
      <c r="K639" t="s">
        <v>865</v>
      </c>
      <c r="L639" s="9">
        <v>46085</v>
      </c>
      <c r="M639" s="9">
        <v>46101</v>
      </c>
      <c r="N639" s="18">
        <f t="shared" ca="1" si="28"/>
        <v>16</v>
      </c>
      <c r="O639" s="9">
        <v>46101</v>
      </c>
      <c r="P639" s="9" t="str">
        <f t="shared" si="29"/>
        <v>✅ Ja</v>
      </c>
      <c r="Q639" t="s">
        <v>846</v>
      </c>
      <c r="S639" t="s">
        <v>839</v>
      </c>
      <c r="T639" t="s">
        <v>540</v>
      </c>
      <c r="U639" t="s">
        <v>646</v>
      </c>
    </row>
    <row r="640" spans="2:21" x14ac:dyDescent="0.25">
      <c r="B640" t="s">
        <v>301</v>
      </c>
      <c r="C640" t="s">
        <v>457</v>
      </c>
      <c r="D640" t="str">
        <f>IF(_xlfn.XLOOKUP(C640, ABZ!A:A, ABZ!B:B, "", 0) = 0, "", _xlfn.XLOOKUP(C640, ABZ!A:A, ABZ!B:B, "", 0))</f>
        <v>VTR-CS-SER-PartnerCommunication</v>
      </c>
      <c r="E640" t="s">
        <v>834</v>
      </c>
      <c r="F640" t="s">
        <v>529</v>
      </c>
      <c r="I640">
        <f t="shared" si="27"/>
        <v>0</v>
      </c>
      <c r="J640" t="s">
        <v>875</v>
      </c>
      <c r="K640" t="s">
        <v>865</v>
      </c>
      <c r="L640" s="9">
        <v>46085</v>
      </c>
      <c r="M640" s="9">
        <v>46101</v>
      </c>
      <c r="N640" s="18">
        <f t="shared" ca="1" si="28"/>
        <v>16</v>
      </c>
      <c r="O640" s="9">
        <v>46101</v>
      </c>
      <c r="P640" s="9" t="str">
        <f t="shared" si="29"/>
        <v>✅ Ja</v>
      </c>
      <c r="Q640" t="s">
        <v>846</v>
      </c>
      <c r="S640" t="s">
        <v>839</v>
      </c>
      <c r="T640" t="s">
        <v>540</v>
      </c>
      <c r="U640" t="s">
        <v>646</v>
      </c>
    </row>
    <row r="641" spans="2:21" x14ac:dyDescent="0.25">
      <c r="B641" t="s">
        <v>302</v>
      </c>
      <c r="C641" t="s">
        <v>457</v>
      </c>
      <c r="D641" t="str">
        <f>IF(_xlfn.XLOOKUP(C641, ABZ!A:A, ABZ!B:B, "", 0) = 0, "", _xlfn.XLOOKUP(C641, ABZ!A:A, ABZ!B:B, "", 0))</f>
        <v>VTR-CS-SER-PartnerCommunication</v>
      </c>
      <c r="E641" t="s">
        <v>834</v>
      </c>
      <c r="F641" t="s">
        <v>527</v>
      </c>
      <c r="I641">
        <f t="shared" si="27"/>
        <v>0</v>
      </c>
      <c r="J641" t="s">
        <v>875</v>
      </c>
      <c r="K641" t="s">
        <v>866</v>
      </c>
      <c r="L641" s="9">
        <v>46085</v>
      </c>
      <c r="M641" s="9">
        <v>46091</v>
      </c>
      <c r="N641" s="18">
        <f t="shared" ca="1" si="28"/>
        <v>6</v>
      </c>
      <c r="O641" s="9">
        <v>46094</v>
      </c>
      <c r="P641" s="9" t="str">
        <f t="shared" si="29"/>
        <v>✅ Ja</v>
      </c>
      <c r="Q641" t="s">
        <v>836</v>
      </c>
      <c r="S641" t="s">
        <v>839</v>
      </c>
      <c r="T641" t="s">
        <v>540</v>
      </c>
      <c r="U641" t="s">
        <v>646</v>
      </c>
    </row>
    <row r="642" spans="2:21" x14ac:dyDescent="0.25">
      <c r="B642" s="3" t="s">
        <v>303</v>
      </c>
      <c r="C642" t="s">
        <v>479</v>
      </c>
      <c r="D642" t="str">
        <f>IF(_xlfn.XLOOKUP(C642, ABZ!A:A, ABZ!B:B, "", 0) = 0, "", _xlfn.XLOOKUP(C642, ABZ!A:A, ABZ!B:B, "", 0))</f>
        <v>D2C-MarketingContent</v>
      </c>
      <c r="E642" t="s">
        <v>834</v>
      </c>
      <c r="F642" t="s">
        <v>529</v>
      </c>
      <c r="I642">
        <f t="shared" si="27"/>
        <v>1</v>
      </c>
      <c r="L642" s="9">
        <v>46085</v>
      </c>
      <c r="M642" s="9">
        <v>46086</v>
      </c>
      <c r="N642" s="18">
        <f t="shared" ca="1" si="28"/>
        <v>1</v>
      </c>
      <c r="O642" s="9">
        <v>46086</v>
      </c>
      <c r="P642" s="9" t="str">
        <f t="shared" si="29"/>
        <v>✅ Ja</v>
      </c>
      <c r="Q642" t="s">
        <v>837</v>
      </c>
      <c r="S642" t="s">
        <v>841</v>
      </c>
      <c r="T642" t="s">
        <v>540</v>
      </c>
      <c r="U642" t="s">
        <v>644</v>
      </c>
    </row>
    <row r="643" spans="2:21" x14ac:dyDescent="0.25">
      <c r="B643" s="3" t="s">
        <v>304</v>
      </c>
      <c r="C643" t="s">
        <v>478</v>
      </c>
      <c r="D643" t="str">
        <f>IF(_xlfn.XLOOKUP(C643, ABZ!A:A, ABZ!B:B, "", 0) = 0, "", _xlfn.XLOOKUP(C643, ABZ!A:A, ABZ!B:B, "", 0))</f>
        <v>D2C-MarketingContent</v>
      </c>
      <c r="E643" t="s">
        <v>834</v>
      </c>
      <c r="F643" t="s">
        <v>529</v>
      </c>
      <c r="I643">
        <f t="shared" ref="I643:I706" si="30">IF(AND(O643&lt;&gt;"",L643&lt;&gt;""),IF((O643-L643)&lt;=2,1,0),0)</f>
        <v>1</v>
      </c>
      <c r="L643" s="9">
        <v>46085</v>
      </c>
      <c r="M643" s="9">
        <v>46086</v>
      </c>
      <c r="N643" s="18">
        <f t="shared" ref="N643:N706" ca="1" si="31">IF(M643&lt;&gt;"",M643-L643,TODAY()-L643)</f>
        <v>1</v>
      </c>
      <c r="O643" s="9">
        <v>46086</v>
      </c>
      <c r="P643" s="9" t="str">
        <f t="shared" ref="P643:P706" si="32">IF(M643="","⏳ Offen",IF(M643&lt;=O643,"✅ Ja","❌ Nein"))</f>
        <v>✅ Ja</v>
      </c>
      <c r="Q643" t="s">
        <v>837</v>
      </c>
      <c r="S643" t="s">
        <v>841</v>
      </c>
      <c r="T643" t="s">
        <v>540</v>
      </c>
      <c r="U643" t="s">
        <v>644</v>
      </c>
    </row>
    <row r="644" spans="2:21" x14ac:dyDescent="0.25">
      <c r="B644" t="s">
        <v>305</v>
      </c>
      <c r="C644" t="s">
        <v>508</v>
      </c>
      <c r="D644" t="str">
        <f>IF(_xlfn.XLOOKUP(C644, ABZ!A:A, ABZ!B:B, "", 0) = 0, "", _xlfn.XLOOKUP(C644, ABZ!A:A, ABZ!B:B, "", 0))</f>
        <v>SUP-TCO-KnowledgeManagement</v>
      </c>
      <c r="E644" t="s">
        <v>834</v>
      </c>
      <c r="F644" t="s">
        <v>534</v>
      </c>
      <c r="I644">
        <f t="shared" si="30"/>
        <v>0</v>
      </c>
      <c r="L644" s="9">
        <v>46085</v>
      </c>
      <c r="M644" s="9">
        <v>46090</v>
      </c>
      <c r="N644" s="18">
        <f t="shared" ca="1" si="31"/>
        <v>5</v>
      </c>
      <c r="O644" s="9">
        <v>46090</v>
      </c>
      <c r="P644" s="9" t="str">
        <f t="shared" si="32"/>
        <v>✅ Ja</v>
      </c>
      <c r="Q644" t="s">
        <v>842</v>
      </c>
      <c r="S644" t="s">
        <v>840</v>
      </c>
      <c r="T644" t="s">
        <v>540</v>
      </c>
      <c r="U644" t="s">
        <v>647</v>
      </c>
    </row>
    <row r="645" spans="2:21" x14ac:dyDescent="0.25">
      <c r="B645" t="s">
        <v>305</v>
      </c>
      <c r="C645" t="s">
        <v>508</v>
      </c>
      <c r="D645" t="str">
        <f>IF(_xlfn.XLOOKUP(C645, ABZ!A:A, ABZ!B:B, "", 0) = 0, "", _xlfn.XLOOKUP(C645, ABZ!A:A, ABZ!B:B, "", 0))</f>
        <v>SUP-TCO-KnowledgeManagement</v>
      </c>
      <c r="E645" t="s">
        <v>834</v>
      </c>
      <c r="F645" t="s">
        <v>533</v>
      </c>
      <c r="I645">
        <f t="shared" si="30"/>
        <v>0</v>
      </c>
      <c r="L645" s="9">
        <v>46085</v>
      </c>
      <c r="M645" s="9">
        <v>46090</v>
      </c>
      <c r="N645" s="18">
        <f t="shared" ca="1" si="31"/>
        <v>5</v>
      </c>
      <c r="O645" s="9">
        <v>46090</v>
      </c>
      <c r="P645" s="9" t="str">
        <f t="shared" si="32"/>
        <v>✅ Ja</v>
      </c>
      <c r="Q645" t="s">
        <v>842</v>
      </c>
      <c r="S645" t="s">
        <v>840</v>
      </c>
      <c r="T645" t="s">
        <v>540</v>
      </c>
      <c r="U645" t="s">
        <v>647</v>
      </c>
    </row>
    <row r="646" spans="2:21" x14ac:dyDescent="0.25">
      <c r="B646" t="s">
        <v>305</v>
      </c>
      <c r="C646" t="s">
        <v>508</v>
      </c>
      <c r="D646" t="str">
        <f>IF(_xlfn.XLOOKUP(C646, ABZ!A:A, ABZ!B:B, "", 0) = 0, "", _xlfn.XLOOKUP(C646, ABZ!A:A, ABZ!B:B, "", 0))</f>
        <v>SUP-TCO-KnowledgeManagement</v>
      </c>
      <c r="E646" t="s">
        <v>834</v>
      </c>
      <c r="F646" t="s">
        <v>536</v>
      </c>
      <c r="I646">
        <f t="shared" si="30"/>
        <v>0</v>
      </c>
      <c r="L646" s="9">
        <v>46085</v>
      </c>
      <c r="M646" s="9">
        <v>46090</v>
      </c>
      <c r="N646" s="18">
        <f t="shared" ca="1" si="31"/>
        <v>5</v>
      </c>
      <c r="O646" s="9">
        <v>46090</v>
      </c>
      <c r="P646" s="9" t="str">
        <f t="shared" si="32"/>
        <v>✅ Ja</v>
      </c>
      <c r="Q646" t="s">
        <v>842</v>
      </c>
      <c r="S646" t="s">
        <v>840</v>
      </c>
      <c r="T646" t="s">
        <v>540</v>
      </c>
      <c r="U646" t="s">
        <v>647</v>
      </c>
    </row>
    <row r="647" spans="2:21" x14ac:dyDescent="0.25">
      <c r="B647" t="s">
        <v>305</v>
      </c>
      <c r="C647" t="s">
        <v>508</v>
      </c>
      <c r="D647" t="str">
        <f>IF(_xlfn.XLOOKUP(C647, ABZ!A:A, ABZ!B:B, "", 0) = 0, "", _xlfn.XLOOKUP(C647, ABZ!A:A, ABZ!B:B, "", 0))</f>
        <v>SUP-TCO-KnowledgeManagement</v>
      </c>
      <c r="E647" t="s">
        <v>834</v>
      </c>
      <c r="F647" t="s">
        <v>537</v>
      </c>
      <c r="I647">
        <f t="shared" si="30"/>
        <v>0</v>
      </c>
      <c r="L647" s="9">
        <v>46085</v>
      </c>
      <c r="M647" s="9">
        <v>46090</v>
      </c>
      <c r="N647" s="18">
        <f t="shared" ca="1" si="31"/>
        <v>5</v>
      </c>
      <c r="O647" s="9">
        <v>46090</v>
      </c>
      <c r="P647" s="9" t="str">
        <f t="shared" si="32"/>
        <v>✅ Ja</v>
      </c>
      <c r="Q647" t="s">
        <v>842</v>
      </c>
      <c r="S647" t="s">
        <v>840</v>
      </c>
      <c r="T647" t="s">
        <v>540</v>
      </c>
      <c r="U647" t="s">
        <v>647</v>
      </c>
    </row>
    <row r="648" spans="2:21" x14ac:dyDescent="0.25">
      <c r="B648" t="s">
        <v>306</v>
      </c>
      <c r="C648" t="s">
        <v>511</v>
      </c>
      <c r="D648" t="str">
        <f>IF(_xlfn.XLOOKUP(C648, ABZ!A:A, ABZ!B:B, "", 0) = 0, "", _xlfn.XLOOKUP(C648, ABZ!A:A, ABZ!B:B, "", 0))</f>
        <v>ENT-WM-iOS-Apps</v>
      </c>
      <c r="E648" t="s">
        <v>834</v>
      </c>
      <c r="F648" t="s">
        <v>530</v>
      </c>
      <c r="I648">
        <f t="shared" si="30"/>
        <v>1</v>
      </c>
      <c r="J648" t="s">
        <v>873</v>
      </c>
      <c r="K648">
        <v>156151</v>
      </c>
      <c r="L648" s="9">
        <v>46085</v>
      </c>
      <c r="M648" s="9">
        <v>46086</v>
      </c>
      <c r="N648" s="18">
        <f t="shared" ca="1" si="31"/>
        <v>1</v>
      </c>
      <c r="O648" s="9">
        <v>46086</v>
      </c>
      <c r="P648" s="9" t="str">
        <f t="shared" si="32"/>
        <v>✅ Ja</v>
      </c>
      <c r="Q648" t="s">
        <v>839</v>
      </c>
      <c r="S648" t="s">
        <v>838</v>
      </c>
      <c r="T648" t="s">
        <v>540</v>
      </c>
      <c r="U648" t="s">
        <v>648</v>
      </c>
    </row>
    <row r="649" spans="2:21" x14ac:dyDescent="0.25">
      <c r="B649" t="s">
        <v>307</v>
      </c>
      <c r="C649" t="s">
        <v>511</v>
      </c>
      <c r="D649" t="str">
        <f>IF(_xlfn.XLOOKUP(C649, ABZ!A:A, ABZ!B:B, "", 0) = 0, "", _xlfn.XLOOKUP(C649, ABZ!A:A, ABZ!B:B, "", 0))</f>
        <v>ENT-WM-iOS-Apps</v>
      </c>
      <c r="E649" t="s">
        <v>834</v>
      </c>
      <c r="F649" t="s">
        <v>531</v>
      </c>
      <c r="I649">
        <f t="shared" si="30"/>
        <v>1</v>
      </c>
      <c r="J649" t="s">
        <v>873</v>
      </c>
      <c r="K649">
        <v>156151</v>
      </c>
      <c r="L649" s="9">
        <v>46085</v>
      </c>
      <c r="M649" s="9">
        <v>46086</v>
      </c>
      <c r="N649" s="18">
        <f t="shared" ca="1" si="31"/>
        <v>1</v>
      </c>
      <c r="O649" s="9">
        <v>46086</v>
      </c>
      <c r="P649" s="9" t="str">
        <f t="shared" si="32"/>
        <v>✅ Ja</v>
      </c>
      <c r="Q649" t="s">
        <v>843</v>
      </c>
      <c r="S649" t="s">
        <v>838</v>
      </c>
      <c r="T649" t="s">
        <v>540</v>
      </c>
      <c r="U649" t="s">
        <v>649</v>
      </c>
    </row>
    <row r="650" spans="2:21" x14ac:dyDescent="0.25">
      <c r="B650" t="s">
        <v>308</v>
      </c>
      <c r="C650" t="s">
        <v>511</v>
      </c>
      <c r="D650" t="str">
        <f>IF(_xlfn.XLOOKUP(C650, ABZ!A:A, ABZ!B:B, "", 0) = 0, "", _xlfn.XLOOKUP(C650, ABZ!A:A, ABZ!B:B, "", 0))</f>
        <v>ENT-WM-iOS-Apps</v>
      </c>
      <c r="E650" t="s">
        <v>834</v>
      </c>
      <c r="F650" t="s">
        <v>528</v>
      </c>
      <c r="I650">
        <f t="shared" si="30"/>
        <v>1</v>
      </c>
      <c r="J650" t="s">
        <v>873</v>
      </c>
      <c r="K650">
        <v>156151</v>
      </c>
      <c r="L650" s="9">
        <v>46085</v>
      </c>
      <c r="M650" s="9">
        <v>46086</v>
      </c>
      <c r="N650" s="18">
        <f t="shared" ca="1" si="31"/>
        <v>1</v>
      </c>
      <c r="O650" s="9">
        <v>46086</v>
      </c>
      <c r="P650" s="9" t="str">
        <f t="shared" si="32"/>
        <v>✅ Ja</v>
      </c>
      <c r="Q650" t="s">
        <v>841</v>
      </c>
      <c r="S650" t="s">
        <v>838</v>
      </c>
      <c r="T650" t="s">
        <v>540</v>
      </c>
      <c r="U650" t="s">
        <v>650</v>
      </c>
    </row>
    <row r="651" spans="2:21" x14ac:dyDescent="0.25">
      <c r="B651" t="s">
        <v>309</v>
      </c>
      <c r="C651" t="s">
        <v>511</v>
      </c>
      <c r="D651" t="str">
        <f>IF(_xlfn.XLOOKUP(C651, ABZ!A:A, ABZ!B:B, "", 0) = 0, "", _xlfn.XLOOKUP(C651, ABZ!A:A, ABZ!B:B, "", 0))</f>
        <v>ENT-WM-iOS-Apps</v>
      </c>
      <c r="E651" t="s">
        <v>834</v>
      </c>
      <c r="F651" t="s">
        <v>527</v>
      </c>
      <c r="I651">
        <f t="shared" si="30"/>
        <v>1</v>
      </c>
      <c r="J651" t="s">
        <v>873</v>
      </c>
      <c r="K651">
        <v>156151</v>
      </c>
      <c r="L651" s="9">
        <v>46085</v>
      </c>
      <c r="M651" s="9">
        <v>46086</v>
      </c>
      <c r="N651" s="18">
        <f t="shared" ca="1" si="31"/>
        <v>1</v>
      </c>
      <c r="O651" s="9">
        <v>46086</v>
      </c>
      <c r="P651" s="9" t="str">
        <f t="shared" si="32"/>
        <v>✅ Ja</v>
      </c>
      <c r="Q651" t="s">
        <v>836</v>
      </c>
      <c r="S651" t="s">
        <v>838</v>
      </c>
      <c r="T651" t="s">
        <v>540</v>
      </c>
      <c r="U651" t="s">
        <v>651</v>
      </c>
    </row>
    <row r="652" spans="2:21" x14ac:dyDescent="0.25">
      <c r="B652" t="s">
        <v>310</v>
      </c>
      <c r="C652" t="s">
        <v>511</v>
      </c>
      <c r="D652" t="str">
        <f>IF(_xlfn.XLOOKUP(C652, ABZ!A:A, ABZ!B:B, "", 0) = 0, "", _xlfn.XLOOKUP(C652, ABZ!A:A, ABZ!B:B, "", 0))</f>
        <v>ENT-WM-iOS-Apps</v>
      </c>
      <c r="E652" t="s">
        <v>834</v>
      </c>
      <c r="F652" t="s">
        <v>535</v>
      </c>
      <c r="I652">
        <f t="shared" si="30"/>
        <v>1</v>
      </c>
      <c r="J652" t="s">
        <v>873</v>
      </c>
      <c r="K652">
        <v>156151</v>
      </c>
      <c r="L652" s="9">
        <v>46085</v>
      </c>
      <c r="M652" s="9">
        <v>46086</v>
      </c>
      <c r="N652" s="18">
        <f t="shared" ca="1" si="31"/>
        <v>1</v>
      </c>
      <c r="O652" s="9">
        <v>46086</v>
      </c>
      <c r="P652" s="9" t="str">
        <f t="shared" si="32"/>
        <v>✅ Ja</v>
      </c>
      <c r="Q652" t="s">
        <v>842</v>
      </c>
      <c r="S652" t="s">
        <v>838</v>
      </c>
      <c r="T652" t="s">
        <v>540</v>
      </c>
      <c r="U652" t="s">
        <v>652</v>
      </c>
    </row>
    <row r="653" spans="2:21" x14ac:dyDescent="0.25">
      <c r="B653" t="s">
        <v>311</v>
      </c>
      <c r="C653" t="s">
        <v>511</v>
      </c>
      <c r="D653" t="str">
        <f>IF(_xlfn.XLOOKUP(C653, ABZ!A:A, ABZ!B:B, "", 0) = 0, "", _xlfn.XLOOKUP(C653, ABZ!A:A, ABZ!B:B, "", 0))</f>
        <v>ENT-WM-iOS-Apps</v>
      </c>
      <c r="E653" t="s">
        <v>834</v>
      </c>
      <c r="F653" t="s">
        <v>538</v>
      </c>
      <c r="I653">
        <f t="shared" si="30"/>
        <v>1</v>
      </c>
      <c r="J653" t="s">
        <v>873</v>
      </c>
      <c r="K653">
        <v>156151</v>
      </c>
      <c r="L653" s="9">
        <v>46085</v>
      </c>
      <c r="M653" s="9">
        <v>46086</v>
      </c>
      <c r="N653" s="18">
        <f t="shared" ca="1" si="31"/>
        <v>1</v>
      </c>
      <c r="O653" s="9">
        <v>46086</v>
      </c>
      <c r="P653" s="9" t="str">
        <f t="shared" si="32"/>
        <v>✅ Ja</v>
      </c>
      <c r="Q653" t="s">
        <v>842</v>
      </c>
      <c r="S653" t="s">
        <v>838</v>
      </c>
      <c r="T653" t="s">
        <v>540</v>
      </c>
      <c r="U653" t="s">
        <v>653</v>
      </c>
    </row>
    <row r="654" spans="2:21" x14ac:dyDescent="0.25">
      <c r="B654" t="s">
        <v>312</v>
      </c>
      <c r="C654" t="s">
        <v>511</v>
      </c>
      <c r="D654" t="str">
        <f>IF(_xlfn.XLOOKUP(C654, ABZ!A:A, ABZ!B:B, "", 0) = 0, "", _xlfn.XLOOKUP(C654, ABZ!A:A, ABZ!B:B, "", 0))</f>
        <v>ENT-WM-iOS-Apps</v>
      </c>
      <c r="E654" t="s">
        <v>834</v>
      </c>
      <c r="F654" t="s">
        <v>529</v>
      </c>
      <c r="I654">
        <f t="shared" si="30"/>
        <v>1</v>
      </c>
      <c r="J654" t="s">
        <v>873</v>
      </c>
      <c r="K654">
        <v>156151</v>
      </c>
      <c r="L654" s="9">
        <v>46085</v>
      </c>
      <c r="M654" s="9">
        <v>46086</v>
      </c>
      <c r="N654" s="18">
        <f t="shared" ca="1" si="31"/>
        <v>1</v>
      </c>
      <c r="O654" s="9">
        <v>46086</v>
      </c>
      <c r="P654" s="9" t="str">
        <f t="shared" si="32"/>
        <v>✅ Ja</v>
      </c>
      <c r="Q654" t="s">
        <v>845</v>
      </c>
      <c r="S654" t="s">
        <v>838</v>
      </c>
      <c r="T654" t="s">
        <v>540</v>
      </c>
      <c r="U654" t="s">
        <v>654</v>
      </c>
    </row>
    <row r="655" spans="2:21" x14ac:dyDescent="0.25">
      <c r="B655" t="s">
        <v>313</v>
      </c>
      <c r="C655" t="s">
        <v>512</v>
      </c>
      <c r="D655" t="str">
        <f>IF(_xlfn.XLOOKUP(C655, ABZ!A:A, ABZ!B:B, "", 0) = 0, "", _xlfn.XLOOKUP(C655, ABZ!A:A, ABZ!B:B, "", 0))</f>
        <v>ENT-UIC-iOS</v>
      </c>
      <c r="E655" t="s">
        <v>834</v>
      </c>
      <c r="F655" t="s">
        <v>530</v>
      </c>
      <c r="I655">
        <f t="shared" si="30"/>
        <v>0</v>
      </c>
      <c r="J655" t="s">
        <v>873</v>
      </c>
      <c r="K655">
        <v>154920</v>
      </c>
      <c r="L655" s="9">
        <v>46084</v>
      </c>
      <c r="M655" s="9">
        <v>46090</v>
      </c>
      <c r="N655" s="18">
        <f t="shared" ca="1" si="31"/>
        <v>6</v>
      </c>
      <c r="O655" s="9">
        <v>46087</v>
      </c>
      <c r="P655" s="9" t="str">
        <f t="shared" si="32"/>
        <v>❌ Nein</v>
      </c>
      <c r="Q655" t="s">
        <v>839</v>
      </c>
      <c r="S655" t="s">
        <v>838</v>
      </c>
      <c r="T655" t="s">
        <v>540</v>
      </c>
      <c r="U655" t="s">
        <v>655</v>
      </c>
    </row>
    <row r="656" spans="2:21" x14ac:dyDescent="0.25">
      <c r="B656" t="s">
        <v>314</v>
      </c>
      <c r="C656" t="s">
        <v>512</v>
      </c>
      <c r="D656" t="str">
        <f>IF(_xlfn.XLOOKUP(C656, ABZ!A:A, ABZ!B:B, "", 0) = 0, "", _xlfn.XLOOKUP(C656, ABZ!A:A, ABZ!B:B, "", 0))</f>
        <v>ENT-UIC-iOS</v>
      </c>
      <c r="E656" t="s">
        <v>834</v>
      </c>
      <c r="F656" t="s">
        <v>531</v>
      </c>
      <c r="I656">
        <f t="shared" si="30"/>
        <v>0</v>
      </c>
      <c r="J656" t="s">
        <v>873</v>
      </c>
      <c r="K656">
        <v>154920</v>
      </c>
      <c r="L656" s="9">
        <v>46084</v>
      </c>
      <c r="M656" s="9">
        <v>46090</v>
      </c>
      <c r="N656" s="18">
        <f t="shared" ca="1" si="31"/>
        <v>6</v>
      </c>
      <c r="O656" s="9">
        <v>46087</v>
      </c>
      <c r="P656" s="9" t="str">
        <f t="shared" si="32"/>
        <v>❌ Nein</v>
      </c>
      <c r="Q656" t="s">
        <v>843</v>
      </c>
      <c r="S656" t="s">
        <v>838</v>
      </c>
      <c r="T656" t="s">
        <v>540</v>
      </c>
      <c r="U656" t="s">
        <v>656</v>
      </c>
    </row>
    <row r="657" spans="2:21" x14ac:dyDescent="0.25">
      <c r="B657" t="s">
        <v>315</v>
      </c>
      <c r="C657" t="s">
        <v>512</v>
      </c>
      <c r="D657" t="str">
        <f>IF(_xlfn.XLOOKUP(C657, ABZ!A:A, ABZ!B:B, "", 0) = 0, "", _xlfn.XLOOKUP(C657, ABZ!A:A, ABZ!B:B, "", 0))</f>
        <v>ENT-UIC-iOS</v>
      </c>
      <c r="E657" t="s">
        <v>834</v>
      </c>
      <c r="F657" t="s">
        <v>528</v>
      </c>
      <c r="I657">
        <f t="shared" si="30"/>
        <v>0</v>
      </c>
      <c r="J657" t="s">
        <v>873</v>
      </c>
      <c r="K657">
        <v>154920</v>
      </c>
      <c r="L657" s="9">
        <v>46084</v>
      </c>
      <c r="M657" s="9">
        <v>46090</v>
      </c>
      <c r="N657" s="18">
        <f t="shared" ca="1" si="31"/>
        <v>6</v>
      </c>
      <c r="O657" s="9">
        <v>46087</v>
      </c>
      <c r="P657" s="9" t="str">
        <f t="shared" si="32"/>
        <v>❌ Nein</v>
      </c>
      <c r="Q657" t="s">
        <v>841</v>
      </c>
      <c r="S657" t="s">
        <v>838</v>
      </c>
      <c r="T657" t="s">
        <v>540</v>
      </c>
      <c r="U657" t="s">
        <v>657</v>
      </c>
    </row>
    <row r="658" spans="2:21" x14ac:dyDescent="0.25">
      <c r="B658" t="s">
        <v>316</v>
      </c>
      <c r="C658" t="s">
        <v>512</v>
      </c>
      <c r="D658" t="str">
        <f>IF(_xlfn.XLOOKUP(C658, ABZ!A:A, ABZ!B:B, "", 0) = 0, "", _xlfn.XLOOKUP(C658, ABZ!A:A, ABZ!B:B, "", 0))</f>
        <v>ENT-UIC-iOS</v>
      </c>
      <c r="E658" t="s">
        <v>834</v>
      </c>
      <c r="F658" t="s">
        <v>527</v>
      </c>
      <c r="I658">
        <f t="shared" si="30"/>
        <v>0</v>
      </c>
      <c r="J658" t="s">
        <v>873</v>
      </c>
      <c r="K658">
        <v>154920</v>
      </c>
      <c r="L658" s="9">
        <v>46084</v>
      </c>
      <c r="M658" s="9">
        <v>46090</v>
      </c>
      <c r="N658" s="18">
        <f t="shared" ca="1" si="31"/>
        <v>6</v>
      </c>
      <c r="O658" s="9">
        <v>46087</v>
      </c>
      <c r="P658" s="9" t="str">
        <f t="shared" si="32"/>
        <v>❌ Nein</v>
      </c>
      <c r="Q658" t="s">
        <v>836</v>
      </c>
      <c r="S658" t="s">
        <v>838</v>
      </c>
      <c r="T658" t="s">
        <v>540</v>
      </c>
      <c r="U658" t="s">
        <v>658</v>
      </c>
    </row>
    <row r="659" spans="2:21" x14ac:dyDescent="0.25">
      <c r="B659" t="s">
        <v>317</v>
      </c>
      <c r="C659" t="s">
        <v>512</v>
      </c>
      <c r="D659" t="str">
        <f>IF(_xlfn.XLOOKUP(C659, ABZ!A:A, ABZ!B:B, "", 0) = 0, "", _xlfn.XLOOKUP(C659, ABZ!A:A, ABZ!B:B, "", 0))</f>
        <v>ENT-UIC-iOS</v>
      </c>
      <c r="E659" t="s">
        <v>834</v>
      </c>
      <c r="F659" t="s">
        <v>535</v>
      </c>
      <c r="I659">
        <f t="shared" si="30"/>
        <v>0</v>
      </c>
      <c r="J659" t="s">
        <v>873</v>
      </c>
      <c r="K659">
        <v>154920</v>
      </c>
      <c r="L659" s="9">
        <v>46084</v>
      </c>
      <c r="M659" s="9">
        <v>46090</v>
      </c>
      <c r="N659" s="18">
        <f t="shared" ca="1" si="31"/>
        <v>6</v>
      </c>
      <c r="O659" s="9">
        <v>46087</v>
      </c>
      <c r="P659" s="9" t="str">
        <f t="shared" si="32"/>
        <v>❌ Nein</v>
      </c>
      <c r="Q659" t="s">
        <v>842</v>
      </c>
      <c r="S659" t="s">
        <v>838</v>
      </c>
      <c r="T659" t="s">
        <v>540</v>
      </c>
      <c r="U659" t="s">
        <v>659</v>
      </c>
    </row>
    <row r="660" spans="2:21" x14ac:dyDescent="0.25">
      <c r="B660" t="s">
        <v>318</v>
      </c>
      <c r="C660" t="s">
        <v>512</v>
      </c>
      <c r="D660" t="str">
        <f>IF(_xlfn.XLOOKUP(C660, ABZ!A:A, ABZ!B:B, "", 0) = 0, "", _xlfn.XLOOKUP(C660, ABZ!A:A, ABZ!B:B, "", 0))</f>
        <v>ENT-UIC-iOS</v>
      </c>
      <c r="E660" t="s">
        <v>834</v>
      </c>
      <c r="F660" t="s">
        <v>538</v>
      </c>
      <c r="I660">
        <f t="shared" si="30"/>
        <v>0</v>
      </c>
      <c r="J660" t="s">
        <v>873</v>
      </c>
      <c r="K660">
        <v>154920</v>
      </c>
      <c r="L660" s="9">
        <v>46084</v>
      </c>
      <c r="M660" s="9">
        <v>46090</v>
      </c>
      <c r="N660" s="18">
        <f t="shared" ca="1" si="31"/>
        <v>6</v>
      </c>
      <c r="O660" s="9">
        <v>46087</v>
      </c>
      <c r="P660" s="9" t="str">
        <f t="shared" si="32"/>
        <v>❌ Nein</v>
      </c>
      <c r="Q660" t="s">
        <v>842</v>
      </c>
      <c r="S660" t="s">
        <v>838</v>
      </c>
      <c r="T660" t="s">
        <v>540</v>
      </c>
      <c r="U660" t="s">
        <v>660</v>
      </c>
    </row>
    <row r="661" spans="2:21" x14ac:dyDescent="0.25">
      <c r="B661" t="s">
        <v>319</v>
      </c>
      <c r="C661" t="s">
        <v>512</v>
      </c>
      <c r="D661" t="str">
        <f>IF(_xlfn.XLOOKUP(C661, ABZ!A:A, ABZ!B:B, "", 0) = 0, "", _xlfn.XLOOKUP(C661, ABZ!A:A, ABZ!B:B, "", 0))</f>
        <v>ENT-UIC-iOS</v>
      </c>
      <c r="E661" t="s">
        <v>834</v>
      </c>
      <c r="F661" t="s">
        <v>529</v>
      </c>
      <c r="I661">
        <f t="shared" si="30"/>
        <v>0</v>
      </c>
      <c r="J661" t="s">
        <v>873</v>
      </c>
      <c r="K661">
        <v>154920</v>
      </c>
      <c r="L661" s="9">
        <v>46084</v>
      </c>
      <c r="M661" s="9">
        <v>46090</v>
      </c>
      <c r="N661" s="18">
        <f t="shared" ca="1" si="31"/>
        <v>6</v>
      </c>
      <c r="O661" s="9">
        <v>46087</v>
      </c>
      <c r="P661" s="9" t="str">
        <f t="shared" si="32"/>
        <v>❌ Nein</v>
      </c>
      <c r="Q661" t="s">
        <v>846</v>
      </c>
      <c r="S661" t="s">
        <v>838</v>
      </c>
      <c r="T661" t="s">
        <v>540</v>
      </c>
      <c r="U661" t="s">
        <v>661</v>
      </c>
    </row>
    <row r="662" spans="2:21" x14ac:dyDescent="0.25">
      <c r="B662" s="3" t="s">
        <v>320</v>
      </c>
      <c r="C662" t="s">
        <v>478</v>
      </c>
      <c r="D662" t="str">
        <f>IF(_xlfn.XLOOKUP(C662, ABZ!A:A, ABZ!B:B, "", 0) = 0, "", _xlfn.XLOOKUP(C662, ABZ!A:A, ABZ!B:B, "", 0))</f>
        <v>D2C-MarketingContent</v>
      </c>
      <c r="E662" t="s">
        <v>834</v>
      </c>
      <c r="F662" t="s">
        <v>529</v>
      </c>
      <c r="I662">
        <f t="shared" si="30"/>
        <v>1</v>
      </c>
      <c r="L662" s="9">
        <v>46085</v>
      </c>
      <c r="M662" s="9">
        <v>46086</v>
      </c>
      <c r="N662" s="18">
        <f t="shared" ca="1" si="31"/>
        <v>1</v>
      </c>
      <c r="O662" s="9">
        <v>46086</v>
      </c>
      <c r="P662" s="9" t="str">
        <f t="shared" si="32"/>
        <v>✅ Ja</v>
      </c>
      <c r="Q662" t="s">
        <v>846</v>
      </c>
      <c r="S662" t="s">
        <v>841</v>
      </c>
      <c r="T662" t="s">
        <v>540</v>
      </c>
      <c r="U662" t="s">
        <v>644</v>
      </c>
    </row>
    <row r="663" spans="2:21" x14ac:dyDescent="0.25">
      <c r="B663" s="3" t="s">
        <v>321</v>
      </c>
      <c r="C663" t="s">
        <v>478</v>
      </c>
      <c r="D663" t="str">
        <f>IF(_xlfn.XLOOKUP(C663, ABZ!A:A, ABZ!B:B, "", 0) = 0, "", _xlfn.XLOOKUP(C663, ABZ!A:A, ABZ!B:B, "", 0))</f>
        <v>D2C-MarketingContent</v>
      </c>
      <c r="E663" t="s">
        <v>834</v>
      </c>
      <c r="F663" t="s">
        <v>529</v>
      </c>
      <c r="I663">
        <f t="shared" si="30"/>
        <v>1</v>
      </c>
      <c r="L663" s="9">
        <v>46085</v>
      </c>
      <c r="M663" s="9">
        <v>46086</v>
      </c>
      <c r="N663" s="18">
        <f t="shared" ca="1" si="31"/>
        <v>1</v>
      </c>
      <c r="O663" s="9">
        <v>46086</v>
      </c>
      <c r="P663" s="9" t="str">
        <f t="shared" si="32"/>
        <v>✅ Ja</v>
      </c>
      <c r="Q663" t="s">
        <v>846</v>
      </c>
      <c r="S663" t="s">
        <v>841</v>
      </c>
      <c r="T663" t="s">
        <v>540</v>
      </c>
      <c r="U663" t="s">
        <v>644</v>
      </c>
    </row>
    <row r="664" spans="2:21" x14ac:dyDescent="0.25">
      <c r="B664" s="3" t="s">
        <v>322</v>
      </c>
      <c r="C664" t="s">
        <v>459</v>
      </c>
      <c r="D664" t="str">
        <f>IF(_xlfn.XLOOKUP(C664, ABZ!A:A, ABZ!B:B, "", 0) = 0, "", _xlfn.XLOOKUP(C664, ABZ!A:A, ABZ!B:B, "", 0))</f>
        <v>ENT-PM-International</v>
      </c>
      <c r="E664" t="s">
        <v>835</v>
      </c>
      <c r="F664" t="s">
        <v>532</v>
      </c>
      <c r="H664">
        <v>1</v>
      </c>
      <c r="I664">
        <f t="shared" si="30"/>
        <v>1</v>
      </c>
      <c r="L664" s="9">
        <v>46086</v>
      </c>
      <c r="M664" s="9">
        <v>46087</v>
      </c>
      <c r="N664" s="18">
        <f t="shared" ca="1" si="31"/>
        <v>1</v>
      </c>
      <c r="O664" s="9">
        <v>46087</v>
      </c>
      <c r="P664" s="9" t="str">
        <f t="shared" si="32"/>
        <v>✅ Ja</v>
      </c>
      <c r="Q664" t="s">
        <v>838</v>
      </c>
      <c r="S664" t="s">
        <v>841</v>
      </c>
      <c r="T664" t="s">
        <v>540</v>
      </c>
      <c r="U664" t="s">
        <v>641</v>
      </c>
    </row>
    <row r="665" spans="2:21" x14ac:dyDescent="0.25">
      <c r="B665" s="3" t="s">
        <v>322</v>
      </c>
      <c r="C665" t="s">
        <v>459</v>
      </c>
      <c r="D665" t="str">
        <f>IF(_xlfn.XLOOKUP(C665, ABZ!A:A, ABZ!B:B, "", 0) = 0, "", _xlfn.XLOOKUP(C665, ABZ!A:A, ABZ!B:B, "", 0))</f>
        <v>ENT-PM-International</v>
      </c>
      <c r="E665" t="s">
        <v>834</v>
      </c>
      <c r="F665" t="s">
        <v>529</v>
      </c>
      <c r="I665">
        <f t="shared" si="30"/>
        <v>1</v>
      </c>
      <c r="L665" s="9">
        <v>46086</v>
      </c>
      <c r="M665" s="9">
        <v>46087</v>
      </c>
      <c r="N665" s="18">
        <f t="shared" ca="1" si="31"/>
        <v>1</v>
      </c>
      <c r="O665" s="9">
        <v>46087</v>
      </c>
      <c r="P665" s="9" t="str">
        <f t="shared" si="32"/>
        <v>✅ Ja</v>
      </c>
      <c r="Q665" t="s">
        <v>845</v>
      </c>
      <c r="S665" t="s">
        <v>841</v>
      </c>
      <c r="T665" t="s">
        <v>540</v>
      </c>
      <c r="U665" t="s">
        <v>641</v>
      </c>
    </row>
    <row r="666" spans="2:21" x14ac:dyDescent="0.25">
      <c r="B666" t="s">
        <v>323</v>
      </c>
      <c r="C666" t="s">
        <v>457</v>
      </c>
      <c r="D666" t="str">
        <f>IF(_xlfn.XLOOKUP(C666, ABZ!A:A, ABZ!B:B, "", 0) = 0, "", _xlfn.XLOOKUP(C666, ABZ!A:A, ABZ!B:B, "", 0))</f>
        <v>VTR-CS-SER-PartnerCommunication</v>
      </c>
      <c r="E666" t="s">
        <v>834</v>
      </c>
      <c r="F666" t="s">
        <v>527</v>
      </c>
      <c r="I666">
        <f t="shared" si="30"/>
        <v>0</v>
      </c>
      <c r="J666" t="s">
        <v>875</v>
      </c>
      <c r="K666" t="s">
        <v>867</v>
      </c>
      <c r="L666" s="9">
        <v>46086</v>
      </c>
      <c r="M666" s="9">
        <v>46091</v>
      </c>
      <c r="N666" s="18">
        <f t="shared" ca="1" si="31"/>
        <v>5</v>
      </c>
      <c r="O666" s="9">
        <v>46093</v>
      </c>
      <c r="P666" s="9" t="str">
        <f t="shared" si="32"/>
        <v>✅ Ja</v>
      </c>
      <c r="Q666" t="s">
        <v>836</v>
      </c>
      <c r="S666" t="s">
        <v>839</v>
      </c>
      <c r="T666" t="s">
        <v>540</v>
      </c>
      <c r="U666" t="s">
        <v>641</v>
      </c>
    </row>
    <row r="667" spans="2:21" x14ac:dyDescent="0.25">
      <c r="B667" t="s">
        <v>323</v>
      </c>
      <c r="C667" t="s">
        <v>457</v>
      </c>
      <c r="D667" t="str">
        <f>IF(_xlfn.XLOOKUP(C667, ABZ!A:A, ABZ!B:B, "", 0) = 0, "", _xlfn.XLOOKUP(C667, ABZ!A:A, ABZ!B:B, "", 0))</f>
        <v>VTR-CS-SER-PartnerCommunication</v>
      </c>
      <c r="E667" t="s">
        <v>834</v>
      </c>
      <c r="F667" t="s">
        <v>530</v>
      </c>
      <c r="I667">
        <f t="shared" si="30"/>
        <v>0</v>
      </c>
      <c r="J667" t="s">
        <v>875</v>
      </c>
      <c r="K667" t="s">
        <v>867</v>
      </c>
      <c r="L667" s="9">
        <v>46086</v>
      </c>
      <c r="M667" s="9">
        <v>46091</v>
      </c>
      <c r="N667" s="18">
        <f t="shared" ca="1" si="31"/>
        <v>5</v>
      </c>
      <c r="O667" s="9">
        <v>46093</v>
      </c>
      <c r="P667" s="9" t="str">
        <f t="shared" si="32"/>
        <v>✅ Ja</v>
      </c>
      <c r="Q667" t="s">
        <v>839</v>
      </c>
      <c r="S667" t="s">
        <v>839</v>
      </c>
      <c r="T667" t="s">
        <v>540</v>
      </c>
      <c r="U667" t="s">
        <v>641</v>
      </c>
    </row>
    <row r="668" spans="2:21" x14ac:dyDescent="0.25">
      <c r="B668" t="s">
        <v>324</v>
      </c>
      <c r="C668" t="s">
        <v>514</v>
      </c>
      <c r="D668" t="str">
        <f>IF(_xlfn.XLOOKUP(C668, ABZ!A:A, ABZ!B:B, "", 0) = 0, "", _xlfn.XLOOKUP(C668, ABZ!A:A, ABZ!B:B, "", 0))</f>
        <v>ENT-UIC-Android</v>
      </c>
      <c r="E668" t="s">
        <v>834</v>
      </c>
      <c r="F668" t="s">
        <v>532</v>
      </c>
      <c r="I668">
        <f t="shared" si="30"/>
        <v>0</v>
      </c>
      <c r="J668" t="s">
        <v>873</v>
      </c>
      <c r="K668">
        <v>156115</v>
      </c>
      <c r="L668" s="9">
        <v>46086</v>
      </c>
      <c r="M668" s="9">
        <v>46091</v>
      </c>
      <c r="N668" s="18">
        <f t="shared" ca="1" si="31"/>
        <v>5</v>
      </c>
      <c r="O668" s="9">
        <v>46091</v>
      </c>
      <c r="P668" s="9" t="str">
        <f t="shared" si="32"/>
        <v>✅ Ja</v>
      </c>
      <c r="Q668" t="s">
        <v>508</v>
      </c>
      <c r="R668" t="s">
        <v>838</v>
      </c>
      <c r="S668" t="s">
        <v>838</v>
      </c>
      <c r="T668" t="s">
        <v>540</v>
      </c>
      <c r="U668" t="s">
        <v>662</v>
      </c>
    </row>
    <row r="669" spans="2:21" x14ac:dyDescent="0.25">
      <c r="B669" t="s">
        <v>325</v>
      </c>
      <c r="C669" t="s">
        <v>514</v>
      </c>
      <c r="D669" t="str">
        <f>IF(_xlfn.XLOOKUP(C669, ABZ!A:A, ABZ!B:B, "", 0) = 0, "", _xlfn.XLOOKUP(C669, ABZ!A:A, ABZ!B:B, "", 0))</f>
        <v>ENT-UIC-Android</v>
      </c>
      <c r="E669" t="s">
        <v>834</v>
      </c>
      <c r="F669" t="s">
        <v>529</v>
      </c>
      <c r="I669">
        <f t="shared" si="30"/>
        <v>0</v>
      </c>
      <c r="J669" t="s">
        <v>873</v>
      </c>
      <c r="K669" t="s">
        <v>868</v>
      </c>
      <c r="L669" s="9">
        <v>46086</v>
      </c>
      <c r="M669" s="9">
        <v>46091</v>
      </c>
      <c r="N669" s="18">
        <f t="shared" ca="1" si="31"/>
        <v>5</v>
      </c>
      <c r="O669" s="9">
        <v>46092</v>
      </c>
      <c r="P669" s="9" t="str">
        <f t="shared" si="32"/>
        <v>✅ Ja</v>
      </c>
      <c r="Q669" t="s">
        <v>846</v>
      </c>
      <c r="S669" t="s">
        <v>838</v>
      </c>
      <c r="T669" t="s">
        <v>540</v>
      </c>
      <c r="U669" t="s">
        <v>663</v>
      </c>
    </row>
    <row r="670" spans="2:21" x14ac:dyDescent="0.25">
      <c r="B670" t="s">
        <v>325</v>
      </c>
      <c r="C670" t="s">
        <v>514</v>
      </c>
      <c r="D670" t="str">
        <f>IF(_xlfn.XLOOKUP(C670, ABZ!A:A, ABZ!B:B, "", 0) = 0, "", _xlfn.XLOOKUP(C670, ABZ!A:A, ABZ!B:B, "", 0))</f>
        <v>ENT-UIC-Android</v>
      </c>
      <c r="E670" t="s">
        <v>834</v>
      </c>
      <c r="F670" t="s">
        <v>530</v>
      </c>
      <c r="I670">
        <f t="shared" si="30"/>
        <v>0</v>
      </c>
      <c r="J670" t="s">
        <v>873</v>
      </c>
      <c r="K670" t="s">
        <v>868</v>
      </c>
      <c r="L670" s="9">
        <v>46086</v>
      </c>
      <c r="M670" s="9">
        <v>46091</v>
      </c>
      <c r="N670" s="18">
        <f t="shared" ca="1" si="31"/>
        <v>5</v>
      </c>
      <c r="O670" s="9">
        <v>46092</v>
      </c>
      <c r="P670" s="9" t="str">
        <f t="shared" si="32"/>
        <v>✅ Ja</v>
      </c>
      <c r="Q670" t="s">
        <v>839</v>
      </c>
      <c r="S670" t="s">
        <v>838</v>
      </c>
      <c r="T670" t="s">
        <v>540</v>
      </c>
      <c r="U670" t="s">
        <v>663</v>
      </c>
    </row>
    <row r="671" spans="2:21" x14ac:dyDescent="0.25">
      <c r="B671" t="s">
        <v>325</v>
      </c>
      <c r="C671" t="s">
        <v>514</v>
      </c>
      <c r="D671" t="str">
        <f>IF(_xlfn.XLOOKUP(C671, ABZ!A:A, ABZ!B:B, "", 0) = 0, "", _xlfn.XLOOKUP(C671, ABZ!A:A, ABZ!B:B, "", 0))</f>
        <v>ENT-UIC-Android</v>
      </c>
      <c r="E671" t="s">
        <v>834</v>
      </c>
      <c r="F671" t="s">
        <v>531</v>
      </c>
      <c r="I671">
        <f t="shared" si="30"/>
        <v>0</v>
      </c>
      <c r="J671" t="s">
        <v>873</v>
      </c>
      <c r="K671" t="s">
        <v>868</v>
      </c>
      <c r="L671" s="9">
        <v>46086</v>
      </c>
      <c r="M671" s="9">
        <v>46091</v>
      </c>
      <c r="N671" s="18">
        <f t="shared" ca="1" si="31"/>
        <v>5</v>
      </c>
      <c r="O671" s="9">
        <v>46092</v>
      </c>
      <c r="P671" s="9" t="str">
        <f t="shared" si="32"/>
        <v>✅ Ja</v>
      </c>
      <c r="Q671" t="s">
        <v>843</v>
      </c>
      <c r="S671" t="s">
        <v>838</v>
      </c>
      <c r="T671" t="s">
        <v>540</v>
      </c>
      <c r="U671" t="s">
        <v>663</v>
      </c>
    </row>
    <row r="672" spans="2:21" x14ac:dyDescent="0.25">
      <c r="B672" t="s">
        <v>325</v>
      </c>
      <c r="C672" t="s">
        <v>514</v>
      </c>
      <c r="D672" t="str">
        <f>IF(_xlfn.XLOOKUP(C672, ABZ!A:A, ABZ!B:B, "", 0) = 0, "", _xlfn.XLOOKUP(C672, ABZ!A:A, ABZ!B:B, "", 0))</f>
        <v>ENT-UIC-Android</v>
      </c>
      <c r="E672" t="s">
        <v>834</v>
      </c>
      <c r="F672" t="s">
        <v>528</v>
      </c>
      <c r="I672">
        <f t="shared" si="30"/>
        <v>0</v>
      </c>
      <c r="J672" t="s">
        <v>873</v>
      </c>
      <c r="K672" t="s">
        <v>868</v>
      </c>
      <c r="L672" s="9">
        <v>46086</v>
      </c>
      <c r="M672" s="9">
        <v>46091</v>
      </c>
      <c r="N672" s="18">
        <f t="shared" ca="1" si="31"/>
        <v>5</v>
      </c>
      <c r="O672" s="9">
        <v>46092</v>
      </c>
      <c r="P672" s="9" t="str">
        <f t="shared" si="32"/>
        <v>✅ Ja</v>
      </c>
      <c r="Q672" t="s">
        <v>841</v>
      </c>
      <c r="S672" t="s">
        <v>838</v>
      </c>
      <c r="T672" t="s">
        <v>540</v>
      </c>
      <c r="U672" t="s">
        <v>663</v>
      </c>
    </row>
    <row r="673" spans="2:21" x14ac:dyDescent="0.25">
      <c r="B673" t="s">
        <v>325</v>
      </c>
      <c r="C673" t="s">
        <v>514</v>
      </c>
      <c r="D673" t="str">
        <f>IF(_xlfn.XLOOKUP(C673, ABZ!A:A, ABZ!B:B, "", 0) = 0, "", _xlfn.XLOOKUP(C673, ABZ!A:A, ABZ!B:B, "", 0))</f>
        <v>ENT-UIC-Android</v>
      </c>
      <c r="E673" t="s">
        <v>834</v>
      </c>
      <c r="F673" t="s">
        <v>527</v>
      </c>
      <c r="I673">
        <f t="shared" si="30"/>
        <v>0</v>
      </c>
      <c r="J673" t="s">
        <v>873</v>
      </c>
      <c r="K673" t="s">
        <v>868</v>
      </c>
      <c r="L673" s="9">
        <v>46086</v>
      </c>
      <c r="M673" s="9">
        <v>46091</v>
      </c>
      <c r="N673" s="18">
        <f t="shared" ca="1" si="31"/>
        <v>5</v>
      </c>
      <c r="O673" s="9">
        <v>46092</v>
      </c>
      <c r="P673" s="9" t="str">
        <f t="shared" si="32"/>
        <v>✅ Ja</v>
      </c>
      <c r="Q673" t="s">
        <v>836</v>
      </c>
      <c r="S673" t="s">
        <v>838</v>
      </c>
      <c r="T673" t="s">
        <v>540</v>
      </c>
      <c r="U673" t="s">
        <v>663</v>
      </c>
    </row>
    <row r="674" spans="2:21" x14ac:dyDescent="0.25">
      <c r="B674" t="s">
        <v>325</v>
      </c>
      <c r="C674" t="s">
        <v>514</v>
      </c>
      <c r="D674" t="str">
        <f>IF(_xlfn.XLOOKUP(C674, ABZ!A:A, ABZ!B:B, "", 0) = 0, "", _xlfn.XLOOKUP(C674, ABZ!A:A, ABZ!B:B, "", 0))</f>
        <v>ENT-UIC-Android</v>
      </c>
      <c r="E674" t="s">
        <v>834</v>
      </c>
      <c r="F674" t="s">
        <v>535</v>
      </c>
      <c r="I674">
        <f t="shared" si="30"/>
        <v>0</v>
      </c>
      <c r="J674" t="s">
        <v>873</v>
      </c>
      <c r="K674" t="s">
        <v>868</v>
      </c>
      <c r="L674" s="9">
        <v>46086</v>
      </c>
      <c r="M674" s="9">
        <v>46091</v>
      </c>
      <c r="N674" s="18">
        <f t="shared" ca="1" si="31"/>
        <v>5</v>
      </c>
      <c r="O674" s="9">
        <v>46092</v>
      </c>
      <c r="P674" s="9" t="str">
        <f t="shared" si="32"/>
        <v>✅ Ja</v>
      </c>
      <c r="Q674" t="s">
        <v>842</v>
      </c>
      <c r="S674" t="s">
        <v>838</v>
      </c>
      <c r="T674" t="s">
        <v>540</v>
      </c>
      <c r="U674" t="s">
        <v>663</v>
      </c>
    </row>
    <row r="675" spans="2:21" x14ac:dyDescent="0.25">
      <c r="B675" t="s">
        <v>325</v>
      </c>
      <c r="C675" t="s">
        <v>514</v>
      </c>
      <c r="D675" t="str">
        <f>IF(_xlfn.XLOOKUP(C675, ABZ!A:A, ABZ!B:B, "", 0) = 0, "", _xlfn.XLOOKUP(C675, ABZ!A:A, ABZ!B:B, "", 0))</f>
        <v>ENT-UIC-Android</v>
      </c>
      <c r="E675" t="s">
        <v>834</v>
      </c>
      <c r="F675" t="s">
        <v>538</v>
      </c>
      <c r="I675">
        <f t="shared" si="30"/>
        <v>0</v>
      </c>
      <c r="J675" t="s">
        <v>873</v>
      </c>
      <c r="K675" t="s">
        <v>868</v>
      </c>
      <c r="L675" s="9">
        <v>46086</v>
      </c>
      <c r="M675" s="9">
        <v>46091</v>
      </c>
      <c r="N675" s="18">
        <f t="shared" ca="1" si="31"/>
        <v>5</v>
      </c>
      <c r="O675" s="9">
        <v>46092</v>
      </c>
      <c r="P675" s="9" t="str">
        <f t="shared" si="32"/>
        <v>✅ Ja</v>
      </c>
      <c r="Q675" t="s">
        <v>842</v>
      </c>
      <c r="S675" t="s">
        <v>838</v>
      </c>
      <c r="T675" t="s">
        <v>540</v>
      </c>
      <c r="U675" t="s">
        <v>663</v>
      </c>
    </row>
    <row r="676" spans="2:21" x14ac:dyDescent="0.25">
      <c r="B676" s="3" t="s">
        <v>326</v>
      </c>
      <c r="C676" t="s">
        <v>480</v>
      </c>
      <c r="D676" t="str">
        <f>IF(_xlfn.XLOOKUP(C676, ABZ!A:A, ABZ!B:B, "", 0) = 0, "", _xlfn.XLOOKUP(C676, ABZ!A:A, ABZ!B:B, "", 0))</f>
        <v>D2C-MarketingContent</v>
      </c>
      <c r="E676" t="s">
        <v>834</v>
      </c>
      <c r="F676" t="s">
        <v>529</v>
      </c>
      <c r="I676">
        <f t="shared" si="30"/>
        <v>0</v>
      </c>
      <c r="J676" t="s">
        <v>875</v>
      </c>
      <c r="L676" s="9">
        <v>46086</v>
      </c>
      <c r="M676" s="9">
        <v>46093</v>
      </c>
      <c r="N676" s="18">
        <f t="shared" ca="1" si="31"/>
        <v>7</v>
      </c>
      <c r="O676" s="9">
        <v>46094</v>
      </c>
      <c r="P676" s="9" t="str">
        <f t="shared" si="32"/>
        <v>✅ Ja</v>
      </c>
      <c r="Q676" t="s">
        <v>837</v>
      </c>
      <c r="S676" t="s">
        <v>841</v>
      </c>
      <c r="T676" t="s">
        <v>540</v>
      </c>
      <c r="U676" t="s">
        <v>664</v>
      </c>
    </row>
    <row r="677" spans="2:21" x14ac:dyDescent="0.25">
      <c r="B677" s="3" t="s">
        <v>326</v>
      </c>
      <c r="C677" t="s">
        <v>480</v>
      </c>
      <c r="D677" t="str">
        <f>IF(_xlfn.XLOOKUP(C677, ABZ!A:A, ABZ!B:B, "", 0) = 0, "", _xlfn.XLOOKUP(C677, ABZ!A:A, ABZ!B:B, "", 0))</f>
        <v>D2C-MarketingContent</v>
      </c>
      <c r="E677" t="s">
        <v>834</v>
      </c>
      <c r="F677" t="s">
        <v>530</v>
      </c>
      <c r="I677">
        <f t="shared" si="30"/>
        <v>0</v>
      </c>
      <c r="J677" t="s">
        <v>875</v>
      </c>
      <c r="L677" s="9">
        <v>46086</v>
      </c>
      <c r="M677" s="9">
        <v>46091</v>
      </c>
      <c r="N677" s="18">
        <f t="shared" ca="1" si="31"/>
        <v>5</v>
      </c>
      <c r="O677" s="9">
        <v>46094</v>
      </c>
      <c r="P677" s="9" t="str">
        <f t="shared" si="32"/>
        <v>✅ Ja</v>
      </c>
      <c r="Q677" t="s">
        <v>839</v>
      </c>
      <c r="S677" t="s">
        <v>841</v>
      </c>
      <c r="T677" t="s">
        <v>540</v>
      </c>
      <c r="U677" t="s">
        <v>664</v>
      </c>
    </row>
    <row r="678" spans="2:21" x14ac:dyDescent="0.25">
      <c r="B678" s="3" t="s">
        <v>326</v>
      </c>
      <c r="C678" t="s">
        <v>480</v>
      </c>
      <c r="D678" t="str">
        <f>IF(_xlfn.XLOOKUP(C678, ABZ!A:A, ABZ!B:B, "", 0) = 0, "", _xlfn.XLOOKUP(C678, ABZ!A:A, ABZ!B:B, "", 0))</f>
        <v>D2C-MarketingContent</v>
      </c>
      <c r="E678" t="s">
        <v>834</v>
      </c>
      <c r="F678" t="s">
        <v>531</v>
      </c>
      <c r="I678">
        <f t="shared" si="30"/>
        <v>0</v>
      </c>
      <c r="J678" t="s">
        <v>875</v>
      </c>
      <c r="L678" s="9">
        <v>46086</v>
      </c>
      <c r="M678" s="9">
        <v>46093</v>
      </c>
      <c r="N678" s="18">
        <f t="shared" ca="1" si="31"/>
        <v>7</v>
      </c>
      <c r="O678" s="9">
        <v>46094</v>
      </c>
      <c r="P678" s="9" t="str">
        <f t="shared" si="32"/>
        <v>✅ Ja</v>
      </c>
      <c r="Q678" t="s">
        <v>840</v>
      </c>
      <c r="S678" t="s">
        <v>841</v>
      </c>
      <c r="T678" t="s">
        <v>540</v>
      </c>
      <c r="U678" t="s">
        <v>664</v>
      </c>
    </row>
    <row r="679" spans="2:21" x14ac:dyDescent="0.25">
      <c r="B679" s="3" t="s">
        <v>326</v>
      </c>
      <c r="C679" t="s">
        <v>480</v>
      </c>
      <c r="D679" t="str">
        <f>IF(_xlfn.XLOOKUP(C679, ABZ!A:A, ABZ!B:B, "", 0) = 0, "", _xlfn.XLOOKUP(C679, ABZ!A:A, ABZ!B:B, "", 0))</f>
        <v>D2C-MarketingContent</v>
      </c>
      <c r="E679" t="s">
        <v>834</v>
      </c>
      <c r="F679" t="s">
        <v>528</v>
      </c>
      <c r="I679">
        <f t="shared" si="30"/>
        <v>0</v>
      </c>
      <c r="J679" t="s">
        <v>875</v>
      </c>
      <c r="L679" s="9">
        <v>46086</v>
      </c>
      <c r="M679" s="9">
        <v>46093</v>
      </c>
      <c r="N679" s="18">
        <f t="shared" ca="1" si="31"/>
        <v>7</v>
      </c>
      <c r="O679" s="9">
        <v>46094</v>
      </c>
      <c r="P679" s="9" t="str">
        <f t="shared" si="32"/>
        <v>✅ Ja</v>
      </c>
      <c r="Q679" t="s">
        <v>841</v>
      </c>
      <c r="S679" t="s">
        <v>841</v>
      </c>
      <c r="T679" t="s">
        <v>540</v>
      </c>
      <c r="U679" t="s">
        <v>664</v>
      </c>
    </row>
    <row r="680" spans="2:21" x14ac:dyDescent="0.25">
      <c r="B680" s="3" t="s">
        <v>326</v>
      </c>
      <c r="C680" t="s">
        <v>480</v>
      </c>
      <c r="D680" t="str">
        <f>IF(_xlfn.XLOOKUP(C680, ABZ!A:A, ABZ!B:B, "", 0) = 0, "", _xlfn.XLOOKUP(C680, ABZ!A:A, ABZ!B:B, "", 0))</f>
        <v>D2C-MarketingContent</v>
      </c>
      <c r="E680" t="s">
        <v>834</v>
      </c>
      <c r="F680" t="s">
        <v>527</v>
      </c>
      <c r="I680">
        <f t="shared" si="30"/>
        <v>0</v>
      </c>
      <c r="J680" t="s">
        <v>875</v>
      </c>
      <c r="L680" s="9">
        <v>46086</v>
      </c>
      <c r="M680" s="9">
        <v>46093</v>
      </c>
      <c r="N680" s="18">
        <f t="shared" ca="1" si="31"/>
        <v>7</v>
      </c>
      <c r="O680" s="9">
        <v>46094</v>
      </c>
      <c r="P680" s="9" t="str">
        <f t="shared" si="32"/>
        <v>✅ Ja</v>
      </c>
      <c r="Q680" t="s">
        <v>836</v>
      </c>
      <c r="S680" t="s">
        <v>841</v>
      </c>
      <c r="T680" t="s">
        <v>540</v>
      </c>
      <c r="U680" t="s">
        <v>664</v>
      </c>
    </row>
    <row r="681" spans="2:21" x14ac:dyDescent="0.25">
      <c r="B681" s="3" t="s">
        <v>327</v>
      </c>
      <c r="C681" t="s">
        <v>480</v>
      </c>
      <c r="D681" t="str">
        <f>IF(_xlfn.XLOOKUP(C681, ABZ!A:A, ABZ!B:B, "", 0) = 0, "", _xlfn.XLOOKUP(C681, ABZ!A:A, ABZ!B:B, "", 0))</f>
        <v>D2C-MarketingContent</v>
      </c>
      <c r="E681" t="s">
        <v>834</v>
      </c>
      <c r="F681" t="s">
        <v>529</v>
      </c>
      <c r="I681">
        <f t="shared" si="30"/>
        <v>0</v>
      </c>
      <c r="J681" t="s">
        <v>875</v>
      </c>
      <c r="L681" s="9">
        <v>46086</v>
      </c>
      <c r="M681" s="9">
        <v>46093</v>
      </c>
      <c r="N681" s="18">
        <f t="shared" ca="1" si="31"/>
        <v>7</v>
      </c>
      <c r="O681" s="9">
        <v>46094</v>
      </c>
      <c r="P681" s="9" t="str">
        <f t="shared" si="32"/>
        <v>✅ Ja</v>
      </c>
      <c r="Q681" t="s">
        <v>837</v>
      </c>
      <c r="S681" t="s">
        <v>841</v>
      </c>
      <c r="T681" t="s">
        <v>540</v>
      </c>
      <c r="U681" t="s">
        <v>664</v>
      </c>
    </row>
    <row r="682" spans="2:21" x14ac:dyDescent="0.25">
      <c r="B682" s="3" t="s">
        <v>327</v>
      </c>
      <c r="C682" t="s">
        <v>480</v>
      </c>
      <c r="D682" t="str">
        <f>IF(_xlfn.XLOOKUP(C682, ABZ!A:A, ABZ!B:B, "", 0) = 0, "", _xlfn.XLOOKUP(C682, ABZ!A:A, ABZ!B:B, "", 0))</f>
        <v>D2C-MarketingContent</v>
      </c>
      <c r="E682" t="s">
        <v>834</v>
      </c>
      <c r="F682" t="s">
        <v>530</v>
      </c>
      <c r="I682">
        <f t="shared" si="30"/>
        <v>0</v>
      </c>
      <c r="J682" t="s">
        <v>875</v>
      </c>
      <c r="L682" s="9">
        <v>46086</v>
      </c>
      <c r="M682" s="9">
        <v>46091</v>
      </c>
      <c r="N682" s="18">
        <f t="shared" ca="1" si="31"/>
        <v>5</v>
      </c>
      <c r="O682" s="9">
        <v>46094</v>
      </c>
      <c r="P682" s="9" t="str">
        <f t="shared" si="32"/>
        <v>✅ Ja</v>
      </c>
      <c r="Q682" t="s">
        <v>839</v>
      </c>
      <c r="S682" t="s">
        <v>841</v>
      </c>
      <c r="T682" t="s">
        <v>540</v>
      </c>
      <c r="U682" t="s">
        <v>664</v>
      </c>
    </row>
    <row r="683" spans="2:21" x14ac:dyDescent="0.25">
      <c r="B683" s="3" t="s">
        <v>327</v>
      </c>
      <c r="C683" t="s">
        <v>480</v>
      </c>
      <c r="D683" t="str">
        <f>IF(_xlfn.XLOOKUP(C683, ABZ!A:A, ABZ!B:B, "", 0) = 0, "", _xlfn.XLOOKUP(C683, ABZ!A:A, ABZ!B:B, "", 0))</f>
        <v>D2C-MarketingContent</v>
      </c>
      <c r="E683" t="s">
        <v>834</v>
      </c>
      <c r="F683" t="s">
        <v>531</v>
      </c>
      <c r="I683">
        <f t="shared" si="30"/>
        <v>0</v>
      </c>
      <c r="J683" t="s">
        <v>875</v>
      </c>
      <c r="L683" s="9">
        <v>46086</v>
      </c>
      <c r="M683" s="9">
        <v>46093</v>
      </c>
      <c r="N683" s="18">
        <f t="shared" ca="1" si="31"/>
        <v>7</v>
      </c>
      <c r="O683" s="9">
        <v>46094</v>
      </c>
      <c r="P683" s="9" t="str">
        <f t="shared" si="32"/>
        <v>✅ Ja</v>
      </c>
      <c r="Q683" t="s">
        <v>840</v>
      </c>
      <c r="S683" t="s">
        <v>841</v>
      </c>
      <c r="T683" t="s">
        <v>540</v>
      </c>
      <c r="U683" t="s">
        <v>664</v>
      </c>
    </row>
    <row r="684" spans="2:21" x14ac:dyDescent="0.25">
      <c r="B684" s="3" t="s">
        <v>327</v>
      </c>
      <c r="C684" t="s">
        <v>480</v>
      </c>
      <c r="D684" t="str">
        <f>IF(_xlfn.XLOOKUP(C684, ABZ!A:A, ABZ!B:B, "", 0) = 0, "", _xlfn.XLOOKUP(C684, ABZ!A:A, ABZ!B:B, "", 0))</f>
        <v>D2C-MarketingContent</v>
      </c>
      <c r="E684" t="s">
        <v>834</v>
      </c>
      <c r="F684" t="s">
        <v>528</v>
      </c>
      <c r="I684">
        <f t="shared" si="30"/>
        <v>0</v>
      </c>
      <c r="J684" t="s">
        <v>875</v>
      </c>
      <c r="L684" s="9">
        <v>46086</v>
      </c>
      <c r="M684" s="9">
        <v>46093</v>
      </c>
      <c r="N684" s="18">
        <f t="shared" ca="1" si="31"/>
        <v>7</v>
      </c>
      <c r="O684" s="9">
        <v>46094</v>
      </c>
      <c r="P684" s="9" t="str">
        <f t="shared" si="32"/>
        <v>✅ Ja</v>
      </c>
      <c r="Q684" t="s">
        <v>841</v>
      </c>
      <c r="S684" t="s">
        <v>841</v>
      </c>
      <c r="T684" t="s">
        <v>540</v>
      </c>
      <c r="U684" t="s">
        <v>664</v>
      </c>
    </row>
    <row r="685" spans="2:21" x14ac:dyDescent="0.25">
      <c r="B685" s="3" t="s">
        <v>327</v>
      </c>
      <c r="C685" t="s">
        <v>480</v>
      </c>
      <c r="D685" t="str">
        <f>IF(_xlfn.XLOOKUP(C685, ABZ!A:A, ABZ!B:B, "", 0) = 0, "", _xlfn.XLOOKUP(C685, ABZ!A:A, ABZ!B:B, "", 0))</f>
        <v>D2C-MarketingContent</v>
      </c>
      <c r="E685" t="s">
        <v>834</v>
      </c>
      <c r="F685" t="s">
        <v>527</v>
      </c>
      <c r="I685">
        <f t="shared" si="30"/>
        <v>0</v>
      </c>
      <c r="J685" t="s">
        <v>875</v>
      </c>
      <c r="L685" s="9">
        <v>46086</v>
      </c>
      <c r="M685" s="9">
        <v>46093</v>
      </c>
      <c r="N685" s="18">
        <f t="shared" ca="1" si="31"/>
        <v>7</v>
      </c>
      <c r="O685" s="9">
        <v>46094</v>
      </c>
      <c r="P685" s="9" t="str">
        <f t="shared" si="32"/>
        <v>✅ Ja</v>
      </c>
      <c r="Q685" t="s">
        <v>836</v>
      </c>
      <c r="S685" t="s">
        <v>841</v>
      </c>
      <c r="T685" t="s">
        <v>540</v>
      </c>
      <c r="U685" t="s">
        <v>664</v>
      </c>
    </row>
    <row r="686" spans="2:21" x14ac:dyDescent="0.25">
      <c r="B686" s="3" t="s">
        <v>328</v>
      </c>
      <c r="C686" t="s">
        <v>480</v>
      </c>
      <c r="D686" t="str">
        <f>IF(_xlfn.XLOOKUP(C686, ABZ!A:A, ABZ!B:B, "", 0) = 0, "", _xlfn.XLOOKUP(C686, ABZ!A:A, ABZ!B:B, "", 0))</f>
        <v>D2C-MarketingContent</v>
      </c>
      <c r="E686" t="s">
        <v>834</v>
      </c>
      <c r="F686" t="s">
        <v>529</v>
      </c>
      <c r="I686">
        <f t="shared" si="30"/>
        <v>0</v>
      </c>
      <c r="J686" t="s">
        <v>875</v>
      </c>
      <c r="L686" s="9">
        <v>46086</v>
      </c>
      <c r="M686" s="9">
        <v>46093</v>
      </c>
      <c r="N686" s="18">
        <f t="shared" ca="1" si="31"/>
        <v>7</v>
      </c>
      <c r="O686" s="9">
        <v>46094</v>
      </c>
      <c r="P686" s="9" t="str">
        <f t="shared" si="32"/>
        <v>✅ Ja</v>
      </c>
      <c r="Q686" t="s">
        <v>837</v>
      </c>
      <c r="S686" t="s">
        <v>841</v>
      </c>
      <c r="T686" t="s">
        <v>540</v>
      </c>
      <c r="U686" t="s">
        <v>664</v>
      </c>
    </row>
    <row r="687" spans="2:21" x14ac:dyDescent="0.25">
      <c r="B687" s="3" t="s">
        <v>328</v>
      </c>
      <c r="C687" t="s">
        <v>480</v>
      </c>
      <c r="D687" t="str">
        <f>IF(_xlfn.XLOOKUP(C687, ABZ!A:A, ABZ!B:B, "", 0) = 0, "", _xlfn.XLOOKUP(C687, ABZ!A:A, ABZ!B:B, "", 0))</f>
        <v>D2C-MarketingContent</v>
      </c>
      <c r="E687" t="s">
        <v>834</v>
      </c>
      <c r="F687" t="s">
        <v>530</v>
      </c>
      <c r="I687">
        <f t="shared" si="30"/>
        <v>0</v>
      </c>
      <c r="J687" t="s">
        <v>875</v>
      </c>
      <c r="L687" s="9">
        <v>46086</v>
      </c>
      <c r="M687" s="9">
        <v>46091</v>
      </c>
      <c r="N687" s="18">
        <f t="shared" ca="1" si="31"/>
        <v>5</v>
      </c>
      <c r="O687" s="9">
        <v>46094</v>
      </c>
      <c r="P687" s="9" t="str">
        <f t="shared" si="32"/>
        <v>✅ Ja</v>
      </c>
      <c r="Q687" t="s">
        <v>839</v>
      </c>
      <c r="S687" t="s">
        <v>841</v>
      </c>
      <c r="T687" t="s">
        <v>540</v>
      </c>
      <c r="U687" t="s">
        <v>664</v>
      </c>
    </row>
    <row r="688" spans="2:21" x14ac:dyDescent="0.25">
      <c r="B688" s="3" t="s">
        <v>328</v>
      </c>
      <c r="C688" t="s">
        <v>480</v>
      </c>
      <c r="D688" t="str">
        <f>IF(_xlfn.XLOOKUP(C688, ABZ!A:A, ABZ!B:B, "", 0) = 0, "", _xlfn.XLOOKUP(C688, ABZ!A:A, ABZ!B:B, "", 0))</f>
        <v>D2C-MarketingContent</v>
      </c>
      <c r="E688" t="s">
        <v>834</v>
      </c>
      <c r="F688" t="s">
        <v>531</v>
      </c>
      <c r="I688">
        <f t="shared" si="30"/>
        <v>0</v>
      </c>
      <c r="J688" t="s">
        <v>875</v>
      </c>
      <c r="L688" s="9">
        <v>46086</v>
      </c>
      <c r="M688" s="9">
        <v>46093</v>
      </c>
      <c r="N688" s="18">
        <f t="shared" ca="1" si="31"/>
        <v>7</v>
      </c>
      <c r="O688" s="9">
        <v>46094</v>
      </c>
      <c r="P688" s="9" t="str">
        <f t="shared" si="32"/>
        <v>✅ Ja</v>
      </c>
      <c r="Q688" t="s">
        <v>840</v>
      </c>
      <c r="S688" t="s">
        <v>841</v>
      </c>
      <c r="T688" t="s">
        <v>540</v>
      </c>
      <c r="U688" t="s">
        <v>664</v>
      </c>
    </row>
    <row r="689" spans="2:21" x14ac:dyDescent="0.25">
      <c r="B689" s="3" t="s">
        <v>328</v>
      </c>
      <c r="C689" t="s">
        <v>480</v>
      </c>
      <c r="D689" t="str">
        <f>IF(_xlfn.XLOOKUP(C689, ABZ!A:A, ABZ!B:B, "", 0) = 0, "", _xlfn.XLOOKUP(C689, ABZ!A:A, ABZ!B:B, "", 0))</f>
        <v>D2C-MarketingContent</v>
      </c>
      <c r="E689" t="s">
        <v>834</v>
      </c>
      <c r="F689" t="s">
        <v>528</v>
      </c>
      <c r="I689">
        <f t="shared" si="30"/>
        <v>0</v>
      </c>
      <c r="J689" t="s">
        <v>875</v>
      </c>
      <c r="L689" s="9">
        <v>46086</v>
      </c>
      <c r="M689" s="9">
        <v>46093</v>
      </c>
      <c r="N689" s="18">
        <f t="shared" ca="1" si="31"/>
        <v>7</v>
      </c>
      <c r="O689" s="9">
        <v>46094</v>
      </c>
      <c r="P689" s="9" t="str">
        <f t="shared" si="32"/>
        <v>✅ Ja</v>
      </c>
      <c r="Q689" t="s">
        <v>841</v>
      </c>
      <c r="S689" t="s">
        <v>841</v>
      </c>
      <c r="T689" t="s">
        <v>540</v>
      </c>
      <c r="U689" t="s">
        <v>664</v>
      </c>
    </row>
    <row r="690" spans="2:21" x14ac:dyDescent="0.25">
      <c r="B690" s="3" t="s">
        <v>328</v>
      </c>
      <c r="C690" t="s">
        <v>480</v>
      </c>
      <c r="D690" t="str">
        <f>IF(_xlfn.XLOOKUP(C690, ABZ!A:A, ABZ!B:B, "", 0) = 0, "", _xlfn.XLOOKUP(C690, ABZ!A:A, ABZ!B:B, "", 0))</f>
        <v>D2C-MarketingContent</v>
      </c>
      <c r="E690" t="s">
        <v>834</v>
      </c>
      <c r="F690" t="s">
        <v>527</v>
      </c>
      <c r="I690">
        <f t="shared" si="30"/>
        <v>0</v>
      </c>
      <c r="J690" t="s">
        <v>875</v>
      </c>
      <c r="L690" s="9">
        <v>46086</v>
      </c>
      <c r="M690" s="9">
        <v>46093</v>
      </c>
      <c r="N690" s="18">
        <f t="shared" ca="1" si="31"/>
        <v>7</v>
      </c>
      <c r="O690" s="9">
        <v>46094</v>
      </c>
      <c r="P690" s="9" t="str">
        <f t="shared" si="32"/>
        <v>✅ Ja</v>
      </c>
      <c r="Q690" t="s">
        <v>836</v>
      </c>
      <c r="S690" t="s">
        <v>841</v>
      </c>
      <c r="T690" t="s">
        <v>540</v>
      </c>
      <c r="U690" t="s">
        <v>664</v>
      </c>
    </row>
    <row r="691" spans="2:21" x14ac:dyDescent="0.25">
      <c r="B691" s="3" t="s">
        <v>329</v>
      </c>
      <c r="C691" t="s">
        <v>480</v>
      </c>
      <c r="D691" t="str">
        <f>IF(_xlfn.XLOOKUP(C691, ABZ!A:A, ABZ!B:B, "", 0) = 0, "", _xlfn.XLOOKUP(C691, ABZ!A:A, ABZ!B:B, "", 0))</f>
        <v>D2C-MarketingContent</v>
      </c>
      <c r="E691" t="s">
        <v>834</v>
      </c>
      <c r="F691" t="s">
        <v>529</v>
      </c>
      <c r="I691">
        <f t="shared" si="30"/>
        <v>0</v>
      </c>
      <c r="J691" t="s">
        <v>875</v>
      </c>
      <c r="L691" s="9">
        <v>46086</v>
      </c>
      <c r="M691" s="9">
        <v>46093</v>
      </c>
      <c r="N691" s="18">
        <f t="shared" ca="1" si="31"/>
        <v>7</v>
      </c>
      <c r="O691" s="9">
        <v>46094</v>
      </c>
      <c r="P691" s="9" t="str">
        <f t="shared" si="32"/>
        <v>✅ Ja</v>
      </c>
      <c r="Q691" t="s">
        <v>837</v>
      </c>
      <c r="S691" t="s">
        <v>841</v>
      </c>
      <c r="T691" t="s">
        <v>540</v>
      </c>
      <c r="U691" t="s">
        <v>664</v>
      </c>
    </row>
    <row r="692" spans="2:21" x14ac:dyDescent="0.25">
      <c r="B692" s="3" t="s">
        <v>329</v>
      </c>
      <c r="C692" t="s">
        <v>480</v>
      </c>
      <c r="D692" t="str">
        <f>IF(_xlfn.XLOOKUP(C692, ABZ!A:A, ABZ!B:B, "", 0) = 0, "", _xlfn.XLOOKUP(C692, ABZ!A:A, ABZ!B:B, "", 0))</f>
        <v>D2C-MarketingContent</v>
      </c>
      <c r="E692" t="s">
        <v>834</v>
      </c>
      <c r="F692" t="s">
        <v>530</v>
      </c>
      <c r="I692">
        <f t="shared" si="30"/>
        <v>0</v>
      </c>
      <c r="J692" t="s">
        <v>875</v>
      </c>
      <c r="L692" s="9">
        <v>46086</v>
      </c>
      <c r="M692" s="9">
        <v>46091</v>
      </c>
      <c r="N692" s="18">
        <f t="shared" ca="1" si="31"/>
        <v>5</v>
      </c>
      <c r="O692" s="9">
        <v>46094</v>
      </c>
      <c r="P692" s="9" t="str">
        <f t="shared" si="32"/>
        <v>✅ Ja</v>
      </c>
      <c r="Q692" t="s">
        <v>839</v>
      </c>
      <c r="S692" t="s">
        <v>841</v>
      </c>
      <c r="T692" t="s">
        <v>540</v>
      </c>
      <c r="U692" t="s">
        <v>664</v>
      </c>
    </row>
    <row r="693" spans="2:21" x14ac:dyDescent="0.25">
      <c r="B693" s="3" t="s">
        <v>329</v>
      </c>
      <c r="C693" t="s">
        <v>480</v>
      </c>
      <c r="D693" t="str">
        <f>IF(_xlfn.XLOOKUP(C693, ABZ!A:A, ABZ!B:B, "", 0) = 0, "", _xlfn.XLOOKUP(C693, ABZ!A:A, ABZ!B:B, "", 0))</f>
        <v>D2C-MarketingContent</v>
      </c>
      <c r="E693" t="s">
        <v>834</v>
      </c>
      <c r="F693" t="s">
        <v>531</v>
      </c>
      <c r="I693">
        <f t="shared" si="30"/>
        <v>0</v>
      </c>
      <c r="J693" t="s">
        <v>875</v>
      </c>
      <c r="L693" s="9">
        <v>46086</v>
      </c>
      <c r="M693" s="9">
        <v>46093</v>
      </c>
      <c r="N693" s="18">
        <f t="shared" ca="1" si="31"/>
        <v>7</v>
      </c>
      <c r="O693" s="9">
        <v>46094</v>
      </c>
      <c r="P693" s="9" t="str">
        <f t="shared" si="32"/>
        <v>✅ Ja</v>
      </c>
      <c r="Q693" t="s">
        <v>840</v>
      </c>
      <c r="S693" t="s">
        <v>841</v>
      </c>
      <c r="T693" t="s">
        <v>540</v>
      </c>
      <c r="U693" t="s">
        <v>664</v>
      </c>
    </row>
    <row r="694" spans="2:21" x14ac:dyDescent="0.25">
      <c r="B694" s="3" t="s">
        <v>329</v>
      </c>
      <c r="C694" t="s">
        <v>480</v>
      </c>
      <c r="D694" t="str">
        <f>IF(_xlfn.XLOOKUP(C694, ABZ!A:A, ABZ!B:B, "", 0) = 0, "", _xlfn.XLOOKUP(C694, ABZ!A:A, ABZ!B:B, "", 0))</f>
        <v>D2C-MarketingContent</v>
      </c>
      <c r="E694" t="s">
        <v>834</v>
      </c>
      <c r="F694" t="s">
        <v>528</v>
      </c>
      <c r="I694">
        <f t="shared" si="30"/>
        <v>0</v>
      </c>
      <c r="J694" t="s">
        <v>875</v>
      </c>
      <c r="L694" s="9">
        <v>46086</v>
      </c>
      <c r="M694" s="9">
        <v>46093</v>
      </c>
      <c r="N694" s="18">
        <f t="shared" ca="1" si="31"/>
        <v>7</v>
      </c>
      <c r="O694" s="9">
        <v>46094</v>
      </c>
      <c r="P694" s="9" t="str">
        <f t="shared" si="32"/>
        <v>✅ Ja</v>
      </c>
      <c r="Q694" t="s">
        <v>841</v>
      </c>
      <c r="S694" t="s">
        <v>841</v>
      </c>
      <c r="T694" t="s">
        <v>540</v>
      </c>
      <c r="U694" t="s">
        <v>664</v>
      </c>
    </row>
    <row r="695" spans="2:21" x14ac:dyDescent="0.25">
      <c r="B695" s="3" t="s">
        <v>329</v>
      </c>
      <c r="C695" t="s">
        <v>480</v>
      </c>
      <c r="D695" t="str">
        <f>IF(_xlfn.XLOOKUP(C695, ABZ!A:A, ABZ!B:B, "", 0) = 0, "", _xlfn.XLOOKUP(C695, ABZ!A:A, ABZ!B:B, "", 0))</f>
        <v>D2C-MarketingContent</v>
      </c>
      <c r="E695" t="s">
        <v>834</v>
      </c>
      <c r="F695" t="s">
        <v>527</v>
      </c>
      <c r="I695">
        <f t="shared" si="30"/>
        <v>0</v>
      </c>
      <c r="J695" t="s">
        <v>875</v>
      </c>
      <c r="L695" s="9">
        <v>46086</v>
      </c>
      <c r="M695" s="9">
        <v>46093</v>
      </c>
      <c r="N695" s="18">
        <f t="shared" ca="1" si="31"/>
        <v>7</v>
      </c>
      <c r="O695" s="9">
        <v>46094</v>
      </c>
      <c r="P695" s="9" t="str">
        <f t="shared" si="32"/>
        <v>✅ Ja</v>
      </c>
      <c r="Q695" t="s">
        <v>836</v>
      </c>
      <c r="S695" t="s">
        <v>841</v>
      </c>
      <c r="T695" t="s">
        <v>540</v>
      </c>
      <c r="U695" t="s">
        <v>664</v>
      </c>
    </row>
    <row r="696" spans="2:21" x14ac:dyDescent="0.25">
      <c r="B696" s="3" t="s">
        <v>330</v>
      </c>
      <c r="C696" t="s">
        <v>482</v>
      </c>
      <c r="D696" t="str">
        <f>IF(_xlfn.XLOOKUP(C696, ABZ!A:A, ABZ!B:B, "", 0) = 0, "", _xlfn.XLOOKUP(C696, ABZ!A:A, ABZ!B:B, "", 0))</f>
        <v>KOM-Marketing</v>
      </c>
      <c r="E696" t="s">
        <v>835</v>
      </c>
      <c r="F696" t="s">
        <v>532</v>
      </c>
      <c r="H696">
        <v>1</v>
      </c>
      <c r="I696">
        <f t="shared" si="30"/>
        <v>0</v>
      </c>
      <c r="J696" t="s">
        <v>875</v>
      </c>
      <c r="L696" s="9">
        <v>46087</v>
      </c>
      <c r="M696" s="9">
        <v>46087</v>
      </c>
      <c r="N696" s="18">
        <f t="shared" ca="1" si="31"/>
        <v>0</v>
      </c>
      <c r="O696" s="9">
        <v>46091</v>
      </c>
      <c r="P696" s="9" t="str">
        <f t="shared" si="32"/>
        <v>✅ Ja</v>
      </c>
      <c r="Q696" t="s">
        <v>838</v>
      </c>
      <c r="S696" t="s">
        <v>840</v>
      </c>
      <c r="T696" t="s">
        <v>540</v>
      </c>
      <c r="U696" t="s">
        <v>665</v>
      </c>
    </row>
    <row r="697" spans="2:21" x14ac:dyDescent="0.25">
      <c r="B697" s="3" t="s">
        <v>330</v>
      </c>
      <c r="C697" t="s">
        <v>482</v>
      </c>
      <c r="D697" t="str">
        <f>IF(_xlfn.XLOOKUP(C697, ABZ!A:A, ABZ!B:B, "", 0) = 0, "", _xlfn.XLOOKUP(C697, ABZ!A:A, ABZ!B:B, "", 0))</f>
        <v>KOM-Marketing</v>
      </c>
      <c r="E697" t="s">
        <v>834</v>
      </c>
      <c r="F697" t="s">
        <v>529</v>
      </c>
      <c r="I697">
        <f t="shared" si="30"/>
        <v>0</v>
      </c>
      <c r="J697" t="s">
        <v>875</v>
      </c>
      <c r="L697" s="9">
        <v>46087</v>
      </c>
      <c r="M697" s="9">
        <v>46088</v>
      </c>
      <c r="N697" s="18">
        <f t="shared" ca="1" si="31"/>
        <v>1</v>
      </c>
      <c r="O697" s="9">
        <v>46091</v>
      </c>
      <c r="P697" s="9" t="str">
        <f t="shared" si="32"/>
        <v>✅ Ja</v>
      </c>
      <c r="Q697" t="s">
        <v>845</v>
      </c>
      <c r="S697" t="s">
        <v>840</v>
      </c>
      <c r="T697" t="s">
        <v>540</v>
      </c>
      <c r="U697" t="s">
        <v>665</v>
      </c>
    </row>
    <row r="698" spans="2:21" x14ac:dyDescent="0.25">
      <c r="B698" t="s">
        <v>331</v>
      </c>
      <c r="C698" t="s">
        <v>515</v>
      </c>
      <c r="D698" t="str">
        <f>IF(_xlfn.XLOOKUP(C698, ABZ!A:A, ABZ!B:B, "", 0) = 0, "", _xlfn.XLOOKUP(C698, ABZ!A:A, ABZ!B:B, "", 0))</f>
        <v>GeneralAccountingFinOps</v>
      </c>
      <c r="E698" t="s">
        <v>834</v>
      </c>
      <c r="F698" t="s">
        <v>529</v>
      </c>
      <c r="I698">
        <f t="shared" si="30"/>
        <v>1</v>
      </c>
      <c r="L698" s="9">
        <v>46090</v>
      </c>
      <c r="M698" s="9">
        <v>46092</v>
      </c>
      <c r="N698" s="18">
        <f t="shared" ca="1" si="31"/>
        <v>2</v>
      </c>
      <c r="O698" s="9">
        <v>46092</v>
      </c>
      <c r="P698" s="9" t="str">
        <f t="shared" si="32"/>
        <v>✅ Ja</v>
      </c>
      <c r="Q698" t="s">
        <v>842</v>
      </c>
      <c r="S698" t="s">
        <v>839</v>
      </c>
      <c r="T698" t="s">
        <v>540</v>
      </c>
      <c r="U698" t="s">
        <v>666</v>
      </c>
    </row>
    <row r="699" spans="2:21" x14ac:dyDescent="0.25">
      <c r="B699" t="s">
        <v>332</v>
      </c>
      <c r="C699" t="s">
        <v>516</v>
      </c>
      <c r="D699" t="str">
        <f>IF(_xlfn.XLOOKUP(C699, ABZ!A:A, ABZ!B:B, "", 0) = 0, "", _xlfn.XLOOKUP(C699, ABZ!A:A, ABZ!B:B, "", 0))</f>
        <v>CorporateLegal</v>
      </c>
      <c r="E699" t="s">
        <v>834</v>
      </c>
      <c r="F699" t="s">
        <v>528</v>
      </c>
      <c r="I699">
        <f t="shared" si="30"/>
        <v>0</v>
      </c>
      <c r="J699" t="s">
        <v>875</v>
      </c>
      <c r="K699" t="s">
        <v>869</v>
      </c>
      <c r="L699" s="9">
        <v>46090</v>
      </c>
      <c r="M699" s="9">
        <v>46094</v>
      </c>
      <c r="N699" s="18">
        <f t="shared" ca="1" si="31"/>
        <v>4</v>
      </c>
      <c r="O699" s="9">
        <v>46094</v>
      </c>
      <c r="P699" s="9" t="str">
        <f t="shared" si="32"/>
        <v>✅ Ja</v>
      </c>
      <c r="Q699" t="s">
        <v>847</v>
      </c>
      <c r="R699" t="s">
        <v>841</v>
      </c>
      <c r="S699" t="s">
        <v>839</v>
      </c>
      <c r="T699" t="s">
        <v>540</v>
      </c>
      <c r="U699" t="s">
        <v>667</v>
      </c>
    </row>
    <row r="700" spans="2:21" x14ac:dyDescent="0.25">
      <c r="B700" t="s">
        <v>333</v>
      </c>
      <c r="C700" t="s">
        <v>516</v>
      </c>
      <c r="D700" t="str">
        <f>IF(_xlfn.XLOOKUP(C700, ABZ!A:A, ABZ!B:B, "", 0) = 0, "", _xlfn.XLOOKUP(C700, ABZ!A:A, ABZ!B:B, "", 0))</f>
        <v>CorporateLegal</v>
      </c>
      <c r="E700" t="s">
        <v>834</v>
      </c>
      <c r="F700" t="s">
        <v>528</v>
      </c>
      <c r="I700">
        <f t="shared" si="30"/>
        <v>0</v>
      </c>
      <c r="J700" t="s">
        <v>875</v>
      </c>
      <c r="K700" t="s">
        <v>869</v>
      </c>
      <c r="L700" s="9">
        <v>46090</v>
      </c>
      <c r="M700" s="9">
        <v>46094</v>
      </c>
      <c r="N700" s="18">
        <f t="shared" ca="1" si="31"/>
        <v>4</v>
      </c>
      <c r="O700" s="9">
        <v>46094</v>
      </c>
      <c r="P700" s="9" t="str">
        <f t="shared" si="32"/>
        <v>✅ Ja</v>
      </c>
      <c r="Q700" t="s">
        <v>847</v>
      </c>
      <c r="R700" t="s">
        <v>841</v>
      </c>
      <c r="S700" t="s">
        <v>839</v>
      </c>
      <c r="T700" t="s">
        <v>540</v>
      </c>
      <c r="U700" t="s">
        <v>667</v>
      </c>
    </row>
    <row r="701" spans="2:21" x14ac:dyDescent="0.25">
      <c r="B701" t="s">
        <v>334</v>
      </c>
      <c r="C701" t="s">
        <v>516</v>
      </c>
      <c r="D701" t="str">
        <f>IF(_xlfn.XLOOKUP(C701, ABZ!A:A, ABZ!B:B, "", 0) = 0, "", _xlfn.XLOOKUP(C701, ABZ!A:A, ABZ!B:B, "", 0))</f>
        <v>CorporateLegal</v>
      </c>
      <c r="E701" t="s">
        <v>834</v>
      </c>
      <c r="F701" t="s">
        <v>528</v>
      </c>
      <c r="I701">
        <f t="shared" si="30"/>
        <v>0</v>
      </c>
      <c r="J701" t="s">
        <v>875</v>
      </c>
      <c r="K701" t="s">
        <v>869</v>
      </c>
      <c r="L701" s="9">
        <v>46090</v>
      </c>
      <c r="M701" s="9">
        <v>46094</v>
      </c>
      <c r="N701" s="18">
        <f t="shared" ca="1" si="31"/>
        <v>4</v>
      </c>
      <c r="O701" s="9">
        <v>46094</v>
      </c>
      <c r="P701" s="9" t="str">
        <f t="shared" si="32"/>
        <v>✅ Ja</v>
      </c>
      <c r="Q701" t="s">
        <v>847</v>
      </c>
      <c r="R701" t="s">
        <v>841</v>
      </c>
      <c r="S701" t="s">
        <v>839</v>
      </c>
      <c r="T701" t="s">
        <v>540</v>
      </c>
      <c r="U701" t="s">
        <v>667</v>
      </c>
    </row>
    <row r="702" spans="2:21" x14ac:dyDescent="0.25">
      <c r="B702" t="s">
        <v>335</v>
      </c>
      <c r="C702" t="s">
        <v>516</v>
      </c>
      <c r="D702" t="str">
        <f>IF(_xlfn.XLOOKUP(C702, ABZ!A:A, ABZ!B:B, "", 0) = 0, "", _xlfn.XLOOKUP(C702, ABZ!A:A, ABZ!B:B, "", 0))</f>
        <v>CorporateLegal</v>
      </c>
      <c r="E702" t="s">
        <v>834</v>
      </c>
      <c r="F702" t="s">
        <v>528</v>
      </c>
      <c r="I702">
        <f t="shared" si="30"/>
        <v>0</v>
      </c>
      <c r="J702" t="s">
        <v>875</v>
      </c>
      <c r="K702" t="s">
        <v>869</v>
      </c>
      <c r="L702" s="9">
        <v>46090</v>
      </c>
      <c r="M702" s="9">
        <v>46094</v>
      </c>
      <c r="N702" s="18">
        <f t="shared" ca="1" si="31"/>
        <v>4</v>
      </c>
      <c r="O702" s="9">
        <v>46094</v>
      </c>
      <c r="P702" s="9" t="str">
        <f t="shared" si="32"/>
        <v>✅ Ja</v>
      </c>
      <c r="Q702" t="s">
        <v>847</v>
      </c>
      <c r="R702" t="s">
        <v>841</v>
      </c>
      <c r="S702" t="s">
        <v>839</v>
      </c>
      <c r="T702" t="s">
        <v>540</v>
      </c>
      <c r="U702" t="s">
        <v>667</v>
      </c>
    </row>
    <row r="703" spans="2:21" x14ac:dyDescent="0.25">
      <c r="B703" t="s">
        <v>336</v>
      </c>
      <c r="C703" t="s">
        <v>516</v>
      </c>
      <c r="D703" t="str">
        <f>IF(_xlfn.XLOOKUP(C703, ABZ!A:A, ABZ!B:B, "", 0) = 0, "", _xlfn.XLOOKUP(C703, ABZ!A:A, ABZ!B:B, "", 0))</f>
        <v>CorporateLegal</v>
      </c>
      <c r="E703" t="s">
        <v>834</v>
      </c>
      <c r="F703" t="s">
        <v>528</v>
      </c>
      <c r="I703">
        <f t="shared" si="30"/>
        <v>0</v>
      </c>
      <c r="J703" t="s">
        <v>875</v>
      </c>
      <c r="K703" t="s">
        <v>869</v>
      </c>
      <c r="L703" s="9">
        <v>46090</v>
      </c>
      <c r="M703" s="9">
        <v>46094</v>
      </c>
      <c r="N703" s="18">
        <f t="shared" ca="1" si="31"/>
        <v>4</v>
      </c>
      <c r="O703" s="9">
        <v>46094</v>
      </c>
      <c r="P703" s="9" t="str">
        <f t="shared" si="32"/>
        <v>✅ Ja</v>
      </c>
      <c r="Q703" t="s">
        <v>847</v>
      </c>
      <c r="R703" t="s">
        <v>841</v>
      </c>
      <c r="S703" t="s">
        <v>839</v>
      </c>
      <c r="T703" t="s">
        <v>540</v>
      </c>
      <c r="U703" t="s">
        <v>667</v>
      </c>
    </row>
    <row r="704" spans="2:21" x14ac:dyDescent="0.25">
      <c r="B704" t="s">
        <v>332</v>
      </c>
      <c r="C704" t="s">
        <v>516</v>
      </c>
      <c r="D704" t="str">
        <f>IF(_xlfn.XLOOKUP(C704, ABZ!A:A, ABZ!B:B, "", 0) = 0, "", _xlfn.XLOOKUP(C704, ABZ!A:A, ABZ!B:B, "", 0))</f>
        <v>CorporateLegal</v>
      </c>
      <c r="E704" t="s">
        <v>834</v>
      </c>
      <c r="F704" t="s">
        <v>530</v>
      </c>
      <c r="I704">
        <f t="shared" si="30"/>
        <v>0</v>
      </c>
      <c r="J704" t="s">
        <v>875</v>
      </c>
      <c r="K704" t="s">
        <v>869</v>
      </c>
      <c r="L704" s="9">
        <v>46090</v>
      </c>
      <c r="M704" s="9">
        <v>46094</v>
      </c>
      <c r="N704" s="18">
        <f t="shared" ca="1" si="31"/>
        <v>4</v>
      </c>
      <c r="O704" s="9">
        <v>46094</v>
      </c>
      <c r="P704" s="9" t="str">
        <f t="shared" si="32"/>
        <v>✅ Ja</v>
      </c>
      <c r="Q704" t="s">
        <v>844</v>
      </c>
      <c r="R704" t="s">
        <v>839</v>
      </c>
      <c r="S704" t="s">
        <v>839</v>
      </c>
      <c r="T704" t="s">
        <v>540</v>
      </c>
      <c r="U704" t="s">
        <v>667</v>
      </c>
    </row>
    <row r="705" spans="2:21" x14ac:dyDescent="0.25">
      <c r="B705" t="s">
        <v>333</v>
      </c>
      <c r="C705" t="s">
        <v>516</v>
      </c>
      <c r="D705" t="str">
        <f>IF(_xlfn.XLOOKUP(C705, ABZ!A:A, ABZ!B:B, "", 0) = 0, "", _xlfn.XLOOKUP(C705, ABZ!A:A, ABZ!B:B, "", 0))</f>
        <v>CorporateLegal</v>
      </c>
      <c r="E705" t="s">
        <v>834</v>
      </c>
      <c r="F705" t="s">
        <v>530</v>
      </c>
      <c r="I705">
        <f t="shared" si="30"/>
        <v>0</v>
      </c>
      <c r="J705" t="s">
        <v>875</v>
      </c>
      <c r="K705" t="s">
        <v>869</v>
      </c>
      <c r="L705" s="9">
        <v>46090</v>
      </c>
      <c r="M705" s="9">
        <v>46094</v>
      </c>
      <c r="N705" s="18">
        <f t="shared" ca="1" si="31"/>
        <v>4</v>
      </c>
      <c r="O705" s="9">
        <v>46094</v>
      </c>
      <c r="P705" s="9" t="str">
        <f t="shared" si="32"/>
        <v>✅ Ja</v>
      </c>
      <c r="Q705" t="s">
        <v>844</v>
      </c>
      <c r="R705" t="s">
        <v>839</v>
      </c>
      <c r="S705" t="s">
        <v>839</v>
      </c>
      <c r="T705" t="s">
        <v>540</v>
      </c>
      <c r="U705" t="s">
        <v>667</v>
      </c>
    </row>
    <row r="706" spans="2:21" x14ac:dyDescent="0.25">
      <c r="B706" t="s">
        <v>334</v>
      </c>
      <c r="C706" t="s">
        <v>516</v>
      </c>
      <c r="D706" t="str">
        <f>IF(_xlfn.XLOOKUP(C706, ABZ!A:A, ABZ!B:B, "", 0) = 0, "", _xlfn.XLOOKUP(C706, ABZ!A:A, ABZ!B:B, "", 0))</f>
        <v>CorporateLegal</v>
      </c>
      <c r="E706" t="s">
        <v>834</v>
      </c>
      <c r="F706" t="s">
        <v>530</v>
      </c>
      <c r="I706">
        <f t="shared" si="30"/>
        <v>0</v>
      </c>
      <c r="J706" t="s">
        <v>875</v>
      </c>
      <c r="K706" t="s">
        <v>869</v>
      </c>
      <c r="L706" s="9">
        <v>46090</v>
      </c>
      <c r="M706" s="9">
        <v>46094</v>
      </c>
      <c r="N706" s="18">
        <f t="shared" ca="1" si="31"/>
        <v>4</v>
      </c>
      <c r="O706" s="9">
        <v>46094</v>
      </c>
      <c r="P706" s="9" t="str">
        <f t="shared" si="32"/>
        <v>✅ Ja</v>
      </c>
      <c r="Q706" t="s">
        <v>844</v>
      </c>
      <c r="R706" t="s">
        <v>839</v>
      </c>
      <c r="S706" t="s">
        <v>839</v>
      </c>
      <c r="T706" t="s">
        <v>540</v>
      </c>
      <c r="U706" t="s">
        <v>667</v>
      </c>
    </row>
    <row r="707" spans="2:21" x14ac:dyDescent="0.25">
      <c r="B707" t="s">
        <v>335</v>
      </c>
      <c r="C707" t="s">
        <v>516</v>
      </c>
      <c r="D707" t="str">
        <f>IF(_xlfn.XLOOKUP(C707, ABZ!A:A, ABZ!B:B, "", 0) = 0, "", _xlfn.XLOOKUP(C707, ABZ!A:A, ABZ!B:B, "", 0))</f>
        <v>CorporateLegal</v>
      </c>
      <c r="E707" t="s">
        <v>834</v>
      </c>
      <c r="F707" t="s">
        <v>530</v>
      </c>
      <c r="I707">
        <f t="shared" ref="I707:I770" si="33">IF(AND(O707&lt;&gt;"",L707&lt;&gt;""),IF((O707-L707)&lt;=2,1,0),0)</f>
        <v>0</v>
      </c>
      <c r="J707" t="s">
        <v>875</v>
      </c>
      <c r="K707" t="s">
        <v>869</v>
      </c>
      <c r="L707" s="9">
        <v>46090</v>
      </c>
      <c r="M707" s="9">
        <v>46094</v>
      </c>
      <c r="N707" s="18">
        <f t="shared" ref="N707:N770" ca="1" si="34">IF(M707&lt;&gt;"",M707-L707,TODAY()-L707)</f>
        <v>4</v>
      </c>
      <c r="O707" s="9">
        <v>46094</v>
      </c>
      <c r="P707" s="9" t="str">
        <f t="shared" ref="P707:P770" si="35">IF(M707="","⏳ Offen",IF(M707&lt;=O707,"✅ Ja","❌ Nein"))</f>
        <v>✅ Ja</v>
      </c>
      <c r="Q707" t="s">
        <v>844</v>
      </c>
      <c r="R707" t="s">
        <v>839</v>
      </c>
      <c r="S707" t="s">
        <v>839</v>
      </c>
      <c r="T707" t="s">
        <v>540</v>
      </c>
      <c r="U707" t="s">
        <v>667</v>
      </c>
    </row>
    <row r="708" spans="2:21" x14ac:dyDescent="0.25">
      <c r="B708" t="s">
        <v>336</v>
      </c>
      <c r="C708" t="s">
        <v>516</v>
      </c>
      <c r="D708" t="str">
        <f>IF(_xlfn.XLOOKUP(C708, ABZ!A:A, ABZ!B:B, "", 0) = 0, "", _xlfn.XLOOKUP(C708, ABZ!A:A, ABZ!B:B, "", 0))</f>
        <v>CorporateLegal</v>
      </c>
      <c r="E708" t="s">
        <v>834</v>
      </c>
      <c r="F708" t="s">
        <v>530</v>
      </c>
      <c r="I708">
        <f t="shared" si="33"/>
        <v>0</v>
      </c>
      <c r="J708" t="s">
        <v>875</v>
      </c>
      <c r="K708" t="s">
        <v>869</v>
      </c>
      <c r="L708" s="9">
        <v>46090</v>
      </c>
      <c r="M708" s="9">
        <v>46094</v>
      </c>
      <c r="N708" s="18">
        <f t="shared" ca="1" si="34"/>
        <v>4</v>
      </c>
      <c r="O708" s="9">
        <v>46094</v>
      </c>
      <c r="P708" s="9" t="str">
        <f t="shared" si="35"/>
        <v>✅ Ja</v>
      </c>
      <c r="Q708" t="s">
        <v>844</v>
      </c>
      <c r="R708" t="s">
        <v>839</v>
      </c>
      <c r="S708" t="s">
        <v>839</v>
      </c>
      <c r="T708" t="s">
        <v>540</v>
      </c>
      <c r="U708" t="s">
        <v>667</v>
      </c>
    </row>
    <row r="709" spans="2:21" x14ac:dyDescent="0.25">
      <c r="B709" t="s">
        <v>332</v>
      </c>
      <c r="C709" t="s">
        <v>516</v>
      </c>
      <c r="D709" t="str">
        <f>IF(_xlfn.XLOOKUP(C709, ABZ!A:A, ABZ!B:B, "", 0) = 0, "", _xlfn.XLOOKUP(C709, ABZ!A:A, ABZ!B:B, "", 0))</f>
        <v>CorporateLegal</v>
      </c>
      <c r="E709" t="s">
        <v>834</v>
      </c>
      <c r="F709" t="s">
        <v>527</v>
      </c>
      <c r="I709">
        <f t="shared" si="33"/>
        <v>0</v>
      </c>
      <c r="J709" t="s">
        <v>875</v>
      </c>
      <c r="K709" t="s">
        <v>869</v>
      </c>
      <c r="L709" s="9">
        <v>46090</v>
      </c>
      <c r="M709" s="9">
        <v>46094</v>
      </c>
      <c r="N709" s="18">
        <f t="shared" ca="1" si="34"/>
        <v>4</v>
      </c>
      <c r="O709" s="9">
        <v>46094</v>
      </c>
      <c r="P709" s="9" t="str">
        <f t="shared" si="35"/>
        <v>✅ Ja</v>
      </c>
      <c r="Q709" t="s">
        <v>836</v>
      </c>
      <c r="S709" t="s">
        <v>839</v>
      </c>
      <c r="T709" t="s">
        <v>540</v>
      </c>
      <c r="U709" t="s">
        <v>667</v>
      </c>
    </row>
    <row r="710" spans="2:21" x14ac:dyDescent="0.25">
      <c r="B710" t="s">
        <v>333</v>
      </c>
      <c r="C710" t="s">
        <v>516</v>
      </c>
      <c r="D710" t="str">
        <f>IF(_xlfn.XLOOKUP(C710, ABZ!A:A, ABZ!B:B, "", 0) = 0, "", _xlfn.XLOOKUP(C710, ABZ!A:A, ABZ!B:B, "", 0))</f>
        <v>CorporateLegal</v>
      </c>
      <c r="E710" t="s">
        <v>834</v>
      </c>
      <c r="F710" t="s">
        <v>527</v>
      </c>
      <c r="I710">
        <f t="shared" si="33"/>
        <v>0</v>
      </c>
      <c r="J710" t="s">
        <v>875</v>
      </c>
      <c r="K710" t="s">
        <v>869</v>
      </c>
      <c r="L710" s="9">
        <v>46090</v>
      </c>
      <c r="M710" s="9">
        <v>46094</v>
      </c>
      <c r="N710" s="18">
        <f t="shared" ca="1" si="34"/>
        <v>4</v>
      </c>
      <c r="O710" s="9">
        <v>46094</v>
      </c>
      <c r="P710" s="9" t="str">
        <f t="shared" si="35"/>
        <v>✅ Ja</v>
      </c>
      <c r="Q710" t="s">
        <v>836</v>
      </c>
      <c r="S710" t="s">
        <v>839</v>
      </c>
      <c r="T710" t="s">
        <v>540</v>
      </c>
      <c r="U710" t="s">
        <v>667</v>
      </c>
    </row>
    <row r="711" spans="2:21" x14ac:dyDescent="0.25">
      <c r="B711" t="s">
        <v>334</v>
      </c>
      <c r="C711" t="s">
        <v>516</v>
      </c>
      <c r="D711" t="str">
        <f>IF(_xlfn.XLOOKUP(C711, ABZ!A:A, ABZ!B:B, "", 0) = 0, "", _xlfn.XLOOKUP(C711, ABZ!A:A, ABZ!B:B, "", 0))</f>
        <v>CorporateLegal</v>
      </c>
      <c r="E711" t="s">
        <v>834</v>
      </c>
      <c r="F711" t="s">
        <v>527</v>
      </c>
      <c r="I711">
        <f t="shared" si="33"/>
        <v>0</v>
      </c>
      <c r="J711" t="s">
        <v>875</v>
      </c>
      <c r="K711" t="s">
        <v>869</v>
      </c>
      <c r="L711" s="9">
        <v>46090</v>
      </c>
      <c r="M711" s="9">
        <v>46094</v>
      </c>
      <c r="N711" s="18">
        <f t="shared" ca="1" si="34"/>
        <v>4</v>
      </c>
      <c r="O711" s="9">
        <v>46094</v>
      </c>
      <c r="P711" s="9" t="str">
        <f t="shared" si="35"/>
        <v>✅ Ja</v>
      </c>
      <c r="Q711" t="s">
        <v>836</v>
      </c>
      <c r="S711" t="s">
        <v>839</v>
      </c>
      <c r="T711" t="s">
        <v>540</v>
      </c>
      <c r="U711" t="s">
        <v>667</v>
      </c>
    </row>
    <row r="712" spans="2:21" x14ac:dyDescent="0.25">
      <c r="B712" t="s">
        <v>335</v>
      </c>
      <c r="C712" t="s">
        <v>516</v>
      </c>
      <c r="D712" t="str">
        <f>IF(_xlfn.XLOOKUP(C712, ABZ!A:A, ABZ!B:B, "", 0) = 0, "", _xlfn.XLOOKUP(C712, ABZ!A:A, ABZ!B:B, "", 0))</f>
        <v>CorporateLegal</v>
      </c>
      <c r="E712" t="s">
        <v>834</v>
      </c>
      <c r="F712" t="s">
        <v>527</v>
      </c>
      <c r="I712">
        <f t="shared" si="33"/>
        <v>0</v>
      </c>
      <c r="J712" t="s">
        <v>875</v>
      </c>
      <c r="K712" t="s">
        <v>869</v>
      </c>
      <c r="L712" s="9">
        <v>46090</v>
      </c>
      <c r="M712" s="9">
        <v>46094</v>
      </c>
      <c r="N712" s="18">
        <f t="shared" ca="1" si="34"/>
        <v>4</v>
      </c>
      <c r="O712" s="9">
        <v>46094</v>
      </c>
      <c r="P712" s="9" t="str">
        <f t="shared" si="35"/>
        <v>✅ Ja</v>
      </c>
      <c r="Q712" t="s">
        <v>836</v>
      </c>
      <c r="S712" t="s">
        <v>839</v>
      </c>
      <c r="T712" t="s">
        <v>540</v>
      </c>
      <c r="U712" t="s">
        <v>667</v>
      </c>
    </row>
    <row r="713" spans="2:21" x14ac:dyDescent="0.25">
      <c r="B713" t="s">
        <v>336</v>
      </c>
      <c r="C713" t="s">
        <v>516</v>
      </c>
      <c r="D713" t="str">
        <f>IF(_xlfn.XLOOKUP(C713, ABZ!A:A, ABZ!B:B, "", 0) = 0, "", _xlfn.XLOOKUP(C713, ABZ!A:A, ABZ!B:B, "", 0))</f>
        <v>CorporateLegal</v>
      </c>
      <c r="E713" t="s">
        <v>834</v>
      </c>
      <c r="F713" t="s">
        <v>527</v>
      </c>
      <c r="I713">
        <f t="shared" si="33"/>
        <v>0</v>
      </c>
      <c r="J713" t="s">
        <v>875</v>
      </c>
      <c r="K713" t="s">
        <v>869</v>
      </c>
      <c r="L713" s="9">
        <v>46090</v>
      </c>
      <c r="M713" s="9">
        <v>46094</v>
      </c>
      <c r="N713" s="18">
        <f t="shared" ca="1" si="34"/>
        <v>4</v>
      </c>
      <c r="O713" s="9">
        <v>46094</v>
      </c>
      <c r="P713" s="9" t="str">
        <f t="shared" si="35"/>
        <v>✅ Ja</v>
      </c>
      <c r="Q713" t="s">
        <v>836</v>
      </c>
      <c r="S713" t="s">
        <v>839</v>
      </c>
      <c r="T713" t="s">
        <v>540</v>
      </c>
      <c r="U713" t="s">
        <v>667</v>
      </c>
    </row>
    <row r="714" spans="2:21" x14ac:dyDescent="0.25">
      <c r="B714" t="s">
        <v>332</v>
      </c>
      <c r="C714" t="s">
        <v>516</v>
      </c>
      <c r="D714" t="str">
        <f>IF(_xlfn.XLOOKUP(C714, ABZ!A:A, ABZ!B:B, "", 0) = 0, "", _xlfn.XLOOKUP(C714, ABZ!A:A, ABZ!B:B, "", 0))</f>
        <v>CorporateLegal</v>
      </c>
      <c r="E714" t="s">
        <v>834</v>
      </c>
      <c r="F714" t="s">
        <v>535</v>
      </c>
      <c r="I714">
        <f t="shared" si="33"/>
        <v>0</v>
      </c>
      <c r="J714" t="s">
        <v>875</v>
      </c>
      <c r="K714" t="s">
        <v>869</v>
      </c>
      <c r="L714" s="9">
        <v>46090</v>
      </c>
      <c r="M714" s="9">
        <v>46094</v>
      </c>
      <c r="N714" s="18">
        <f t="shared" ca="1" si="34"/>
        <v>4</v>
      </c>
      <c r="O714" s="9">
        <v>46094</v>
      </c>
      <c r="P714" s="9" t="str">
        <f t="shared" si="35"/>
        <v>✅ Ja</v>
      </c>
      <c r="Q714" t="s">
        <v>842</v>
      </c>
      <c r="S714" t="s">
        <v>839</v>
      </c>
      <c r="T714" t="s">
        <v>540</v>
      </c>
      <c r="U714" t="s">
        <v>667</v>
      </c>
    </row>
    <row r="715" spans="2:21" x14ac:dyDescent="0.25">
      <c r="B715" t="s">
        <v>333</v>
      </c>
      <c r="C715" t="s">
        <v>516</v>
      </c>
      <c r="D715" t="str">
        <f>IF(_xlfn.XLOOKUP(C715, ABZ!A:A, ABZ!B:B, "", 0) = 0, "", _xlfn.XLOOKUP(C715, ABZ!A:A, ABZ!B:B, "", 0))</f>
        <v>CorporateLegal</v>
      </c>
      <c r="E715" t="s">
        <v>834</v>
      </c>
      <c r="F715" t="s">
        <v>535</v>
      </c>
      <c r="I715">
        <f t="shared" si="33"/>
        <v>0</v>
      </c>
      <c r="J715" t="s">
        <v>875</v>
      </c>
      <c r="K715" t="s">
        <v>869</v>
      </c>
      <c r="L715" s="9">
        <v>46090</v>
      </c>
      <c r="M715" s="9">
        <v>46094</v>
      </c>
      <c r="N715" s="18">
        <f t="shared" ca="1" si="34"/>
        <v>4</v>
      </c>
      <c r="O715" s="9">
        <v>46094</v>
      </c>
      <c r="P715" s="9" t="str">
        <f t="shared" si="35"/>
        <v>✅ Ja</v>
      </c>
      <c r="Q715" t="s">
        <v>842</v>
      </c>
      <c r="S715" t="s">
        <v>839</v>
      </c>
      <c r="T715" t="s">
        <v>540</v>
      </c>
      <c r="U715" t="s">
        <v>667</v>
      </c>
    </row>
    <row r="716" spans="2:21" x14ac:dyDescent="0.25">
      <c r="B716" t="s">
        <v>334</v>
      </c>
      <c r="C716" t="s">
        <v>516</v>
      </c>
      <c r="D716" t="str">
        <f>IF(_xlfn.XLOOKUP(C716, ABZ!A:A, ABZ!B:B, "", 0) = 0, "", _xlfn.XLOOKUP(C716, ABZ!A:A, ABZ!B:B, "", 0))</f>
        <v>CorporateLegal</v>
      </c>
      <c r="E716" t="s">
        <v>834</v>
      </c>
      <c r="F716" t="s">
        <v>535</v>
      </c>
      <c r="I716">
        <f t="shared" si="33"/>
        <v>0</v>
      </c>
      <c r="J716" t="s">
        <v>875</v>
      </c>
      <c r="K716" t="s">
        <v>869</v>
      </c>
      <c r="L716" s="9">
        <v>46090</v>
      </c>
      <c r="M716" s="9">
        <v>46094</v>
      </c>
      <c r="N716" s="18">
        <f t="shared" ca="1" si="34"/>
        <v>4</v>
      </c>
      <c r="O716" s="9">
        <v>46094</v>
      </c>
      <c r="P716" s="9" t="str">
        <f t="shared" si="35"/>
        <v>✅ Ja</v>
      </c>
      <c r="Q716" t="s">
        <v>842</v>
      </c>
      <c r="S716" t="s">
        <v>839</v>
      </c>
      <c r="T716" t="s">
        <v>540</v>
      </c>
      <c r="U716" t="s">
        <v>667</v>
      </c>
    </row>
    <row r="717" spans="2:21" x14ac:dyDescent="0.25">
      <c r="B717" t="s">
        <v>335</v>
      </c>
      <c r="C717" t="s">
        <v>516</v>
      </c>
      <c r="D717" t="str">
        <f>IF(_xlfn.XLOOKUP(C717, ABZ!A:A, ABZ!B:B, "", 0) = 0, "", _xlfn.XLOOKUP(C717, ABZ!A:A, ABZ!B:B, "", 0))</f>
        <v>CorporateLegal</v>
      </c>
      <c r="E717" t="s">
        <v>834</v>
      </c>
      <c r="F717" t="s">
        <v>535</v>
      </c>
      <c r="I717">
        <f t="shared" si="33"/>
        <v>0</v>
      </c>
      <c r="J717" t="s">
        <v>875</v>
      </c>
      <c r="K717" t="s">
        <v>869</v>
      </c>
      <c r="L717" s="9">
        <v>46090</v>
      </c>
      <c r="M717" s="9">
        <v>46094</v>
      </c>
      <c r="N717" s="18">
        <f t="shared" ca="1" si="34"/>
        <v>4</v>
      </c>
      <c r="O717" s="9">
        <v>46094</v>
      </c>
      <c r="P717" s="9" t="str">
        <f t="shared" si="35"/>
        <v>✅ Ja</v>
      </c>
      <c r="Q717" t="s">
        <v>842</v>
      </c>
      <c r="S717" t="s">
        <v>839</v>
      </c>
      <c r="T717" t="s">
        <v>540</v>
      </c>
      <c r="U717" t="s">
        <v>667</v>
      </c>
    </row>
    <row r="718" spans="2:21" x14ac:dyDescent="0.25">
      <c r="B718" t="s">
        <v>336</v>
      </c>
      <c r="C718" t="s">
        <v>516</v>
      </c>
      <c r="D718" t="str">
        <f>IF(_xlfn.XLOOKUP(C718, ABZ!A:A, ABZ!B:B, "", 0) = 0, "", _xlfn.XLOOKUP(C718, ABZ!A:A, ABZ!B:B, "", 0))</f>
        <v>CorporateLegal</v>
      </c>
      <c r="E718" t="s">
        <v>834</v>
      </c>
      <c r="F718" t="s">
        <v>535</v>
      </c>
      <c r="I718">
        <f t="shared" si="33"/>
        <v>0</v>
      </c>
      <c r="J718" t="s">
        <v>875</v>
      </c>
      <c r="K718" t="s">
        <v>869</v>
      </c>
      <c r="L718" s="9">
        <v>46090</v>
      </c>
      <c r="M718" s="9">
        <v>46094</v>
      </c>
      <c r="N718" s="18">
        <f t="shared" ca="1" si="34"/>
        <v>4</v>
      </c>
      <c r="O718" s="9">
        <v>46094</v>
      </c>
      <c r="P718" s="9" t="str">
        <f t="shared" si="35"/>
        <v>✅ Ja</v>
      </c>
      <c r="Q718" t="s">
        <v>842</v>
      </c>
      <c r="S718" t="s">
        <v>839</v>
      </c>
      <c r="T718" t="s">
        <v>540</v>
      </c>
      <c r="U718" t="s">
        <v>667</v>
      </c>
    </row>
    <row r="719" spans="2:21" x14ac:dyDescent="0.25">
      <c r="B719" t="s">
        <v>332</v>
      </c>
      <c r="C719" t="s">
        <v>516</v>
      </c>
      <c r="D719" t="str">
        <f>IF(_xlfn.XLOOKUP(C719, ABZ!A:A, ABZ!B:B, "", 0) = 0, "", _xlfn.XLOOKUP(C719, ABZ!A:A, ABZ!B:B, "", 0))</f>
        <v>CorporateLegal</v>
      </c>
      <c r="E719" t="s">
        <v>834</v>
      </c>
      <c r="F719" t="s">
        <v>531</v>
      </c>
      <c r="I719">
        <f t="shared" si="33"/>
        <v>0</v>
      </c>
      <c r="J719" t="s">
        <v>875</v>
      </c>
      <c r="K719" t="s">
        <v>869</v>
      </c>
      <c r="L719" s="9">
        <v>46090</v>
      </c>
      <c r="M719" s="9">
        <v>46094</v>
      </c>
      <c r="N719" s="18">
        <f t="shared" ca="1" si="34"/>
        <v>4</v>
      </c>
      <c r="O719" s="9">
        <v>46094</v>
      </c>
      <c r="P719" s="9" t="str">
        <f t="shared" si="35"/>
        <v>✅ Ja</v>
      </c>
      <c r="Q719" t="s">
        <v>843</v>
      </c>
      <c r="S719" t="s">
        <v>839</v>
      </c>
      <c r="T719" t="s">
        <v>540</v>
      </c>
      <c r="U719" t="s">
        <v>667</v>
      </c>
    </row>
    <row r="720" spans="2:21" x14ac:dyDescent="0.25">
      <c r="B720" t="s">
        <v>333</v>
      </c>
      <c r="C720" t="s">
        <v>516</v>
      </c>
      <c r="D720" t="str">
        <f>IF(_xlfn.XLOOKUP(C720, ABZ!A:A, ABZ!B:B, "", 0) = 0, "", _xlfn.XLOOKUP(C720, ABZ!A:A, ABZ!B:B, "", 0))</f>
        <v>CorporateLegal</v>
      </c>
      <c r="E720" t="s">
        <v>834</v>
      </c>
      <c r="F720" t="s">
        <v>531</v>
      </c>
      <c r="I720">
        <f t="shared" si="33"/>
        <v>0</v>
      </c>
      <c r="J720" t="s">
        <v>875</v>
      </c>
      <c r="K720" t="s">
        <v>869</v>
      </c>
      <c r="L720" s="9">
        <v>46090</v>
      </c>
      <c r="M720" s="9">
        <v>46094</v>
      </c>
      <c r="N720" s="18">
        <f t="shared" ca="1" si="34"/>
        <v>4</v>
      </c>
      <c r="O720" s="9">
        <v>46094</v>
      </c>
      <c r="P720" s="9" t="str">
        <f t="shared" si="35"/>
        <v>✅ Ja</v>
      </c>
      <c r="Q720" t="s">
        <v>843</v>
      </c>
      <c r="S720" t="s">
        <v>839</v>
      </c>
      <c r="T720" t="s">
        <v>540</v>
      </c>
      <c r="U720" t="s">
        <v>667</v>
      </c>
    </row>
    <row r="721" spans="2:21" x14ac:dyDescent="0.25">
      <c r="B721" t="s">
        <v>334</v>
      </c>
      <c r="C721" t="s">
        <v>516</v>
      </c>
      <c r="D721" t="str">
        <f>IF(_xlfn.XLOOKUP(C721, ABZ!A:A, ABZ!B:B, "", 0) = 0, "", _xlfn.XLOOKUP(C721, ABZ!A:A, ABZ!B:B, "", 0))</f>
        <v>CorporateLegal</v>
      </c>
      <c r="E721" t="s">
        <v>834</v>
      </c>
      <c r="F721" t="s">
        <v>531</v>
      </c>
      <c r="I721">
        <f t="shared" si="33"/>
        <v>0</v>
      </c>
      <c r="J721" t="s">
        <v>875</v>
      </c>
      <c r="K721" t="s">
        <v>869</v>
      </c>
      <c r="L721" s="9">
        <v>46090</v>
      </c>
      <c r="M721" s="9">
        <v>46094</v>
      </c>
      <c r="N721" s="18">
        <f t="shared" ca="1" si="34"/>
        <v>4</v>
      </c>
      <c r="O721" s="9">
        <v>46094</v>
      </c>
      <c r="P721" s="9" t="str">
        <f t="shared" si="35"/>
        <v>✅ Ja</v>
      </c>
      <c r="Q721" t="s">
        <v>843</v>
      </c>
      <c r="S721" t="s">
        <v>839</v>
      </c>
      <c r="T721" t="s">
        <v>540</v>
      </c>
      <c r="U721" t="s">
        <v>667</v>
      </c>
    </row>
    <row r="722" spans="2:21" x14ac:dyDescent="0.25">
      <c r="B722" t="s">
        <v>335</v>
      </c>
      <c r="C722" t="s">
        <v>516</v>
      </c>
      <c r="D722" t="str">
        <f>IF(_xlfn.XLOOKUP(C722, ABZ!A:A, ABZ!B:B, "", 0) = 0, "", _xlfn.XLOOKUP(C722, ABZ!A:A, ABZ!B:B, "", 0))</f>
        <v>CorporateLegal</v>
      </c>
      <c r="E722" t="s">
        <v>834</v>
      </c>
      <c r="F722" t="s">
        <v>531</v>
      </c>
      <c r="I722">
        <f t="shared" si="33"/>
        <v>0</v>
      </c>
      <c r="J722" t="s">
        <v>875</v>
      </c>
      <c r="K722" t="s">
        <v>869</v>
      </c>
      <c r="L722" s="9">
        <v>46090</v>
      </c>
      <c r="M722" s="9">
        <v>46094</v>
      </c>
      <c r="N722" s="18">
        <f t="shared" ca="1" si="34"/>
        <v>4</v>
      </c>
      <c r="O722" s="9">
        <v>46094</v>
      </c>
      <c r="P722" s="9" t="str">
        <f t="shared" si="35"/>
        <v>✅ Ja</v>
      </c>
      <c r="Q722" t="s">
        <v>843</v>
      </c>
      <c r="S722" t="s">
        <v>839</v>
      </c>
      <c r="T722" t="s">
        <v>540</v>
      </c>
      <c r="U722" t="s">
        <v>667</v>
      </c>
    </row>
    <row r="723" spans="2:21" x14ac:dyDescent="0.25">
      <c r="B723" t="s">
        <v>336</v>
      </c>
      <c r="C723" t="s">
        <v>516</v>
      </c>
      <c r="D723" t="str">
        <f>IF(_xlfn.XLOOKUP(C723, ABZ!A:A, ABZ!B:B, "", 0) = 0, "", _xlfn.XLOOKUP(C723, ABZ!A:A, ABZ!B:B, "", 0))</f>
        <v>CorporateLegal</v>
      </c>
      <c r="E723" t="s">
        <v>834</v>
      </c>
      <c r="F723" t="s">
        <v>531</v>
      </c>
      <c r="I723">
        <f t="shared" si="33"/>
        <v>0</v>
      </c>
      <c r="J723" t="s">
        <v>875</v>
      </c>
      <c r="K723" t="s">
        <v>869</v>
      </c>
      <c r="L723" s="9">
        <v>46090</v>
      </c>
      <c r="M723" s="9">
        <v>46094</v>
      </c>
      <c r="N723" s="18">
        <f t="shared" ca="1" si="34"/>
        <v>4</v>
      </c>
      <c r="O723" s="9">
        <v>46094</v>
      </c>
      <c r="P723" s="9" t="str">
        <f t="shared" si="35"/>
        <v>✅ Ja</v>
      </c>
      <c r="Q723" t="s">
        <v>843</v>
      </c>
      <c r="S723" t="s">
        <v>839</v>
      </c>
      <c r="T723" t="s">
        <v>540</v>
      </c>
      <c r="U723" t="s">
        <v>667</v>
      </c>
    </row>
    <row r="724" spans="2:21" x14ac:dyDescent="0.25">
      <c r="B724" t="s">
        <v>337</v>
      </c>
      <c r="C724" t="s">
        <v>517</v>
      </c>
      <c r="D724" t="str">
        <f>IF(_xlfn.XLOOKUP(C724, ABZ!A:A, ABZ!B:B, "", 0) = 0, "", _xlfn.XLOOKUP(C724, ABZ!A:A, ABZ!B:B, "", 0))</f>
        <v>KOM-Marketing</v>
      </c>
      <c r="E724" t="s">
        <v>835</v>
      </c>
      <c r="F724" t="s">
        <v>532</v>
      </c>
      <c r="H724">
        <v>2</v>
      </c>
      <c r="I724">
        <f t="shared" si="33"/>
        <v>0</v>
      </c>
      <c r="J724" t="s">
        <v>875</v>
      </c>
      <c r="K724" t="s">
        <v>870</v>
      </c>
      <c r="L724" s="9">
        <v>46091</v>
      </c>
      <c r="M724" s="9">
        <v>46091</v>
      </c>
      <c r="N724" s="18">
        <f t="shared" ca="1" si="34"/>
        <v>0</v>
      </c>
      <c r="O724" s="9">
        <v>46094</v>
      </c>
      <c r="P724" s="9" t="str">
        <f t="shared" si="35"/>
        <v>✅ Ja</v>
      </c>
      <c r="Q724" t="s">
        <v>838</v>
      </c>
      <c r="S724" t="s">
        <v>839</v>
      </c>
      <c r="T724" t="s">
        <v>540</v>
      </c>
      <c r="U724" t="s">
        <v>641</v>
      </c>
    </row>
    <row r="725" spans="2:21" x14ac:dyDescent="0.25">
      <c r="B725" t="s">
        <v>338</v>
      </c>
      <c r="C725" t="s">
        <v>517</v>
      </c>
      <c r="D725" t="str">
        <f>IF(_xlfn.XLOOKUP(C725, ABZ!A:A, ABZ!B:B, "", 0) = 0, "", _xlfn.XLOOKUP(C725, ABZ!A:A, ABZ!B:B, "", 0))</f>
        <v>KOM-Marketing</v>
      </c>
      <c r="E725" t="s">
        <v>835</v>
      </c>
      <c r="F725" t="s">
        <v>532</v>
      </c>
      <c r="H725">
        <v>2</v>
      </c>
      <c r="I725">
        <f t="shared" si="33"/>
        <v>0</v>
      </c>
      <c r="J725" t="s">
        <v>875</v>
      </c>
      <c r="K725" t="s">
        <v>870</v>
      </c>
      <c r="L725" s="9">
        <v>46091</v>
      </c>
      <c r="M725" s="9">
        <v>46091</v>
      </c>
      <c r="N725" s="18">
        <f t="shared" ca="1" si="34"/>
        <v>0</v>
      </c>
      <c r="O725" s="9">
        <v>46094</v>
      </c>
      <c r="P725" s="9" t="str">
        <f t="shared" si="35"/>
        <v>✅ Ja</v>
      </c>
      <c r="Q725" t="s">
        <v>838</v>
      </c>
      <c r="S725" t="s">
        <v>839</v>
      </c>
      <c r="T725" t="s">
        <v>540</v>
      </c>
      <c r="U725" t="s">
        <v>641</v>
      </c>
    </row>
    <row r="726" spans="2:21" x14ac:dyDescent="0.25">
      <c r="B726" t="s">
        <v>339</v>
      </c>
      <c r="C726" t="s">
        <v>517</v>
      </c>
      <c r="D726" t="str">
        <f>IF(_xlfn.XLOOKUP(C726, ABZ!A:A, ABZ!B:B, "", 0) = 0, "", _xlfn.XLOOKUP(C726, ABZ!A:A, ABZ!B:B, "", 0))</f>
        <v>KOM-Marketing</v>
      </c>
      <c r="E726" t="s">
        <v>834</v>
      </c>
      <c r="F726" t="s">
        <v>528</v>
      </c>
      <c r="I726">
        <f t="shared" si="33"/>
        <v>0</v>
      </c>
      <c r="J726" t="s">
        <v>875</v>
      </c>
      <c r="K726" t="s">
        <v>870</v>
      </c>
      <c r="L726" s="9">
        <v>46091</v>
      </c>
      <c r="M726" s="9">
        <v>46091</v>
      </c>
      <c r="N726" s="18">
        <f t="shared" ca="1" si="34"/>
        <v>0</v>
      </c>
      <c r="O726" s="9">
        <v>46094</v>
      </c>
      <c r="P726" s="9" t="str">
        <f t="shared" si="35"/>
        <v>✅ Ja</v>
      </c>
      <c r="Q726" t="s">
        <v>841</v>
      </c>
      <c r="S726" t="s">
        <v>839</v>
      </c>
      <c r="T726" t="s">
        <v>540</v>
      </c>
      <c r="U726" t="s">
        <v>668</v>
      </c>
    </row>
    <row r="727" spans="2:21" x14ac:dyDescent="0.25">
      <c r="B727" t="s">
        <v>340</v>
      </c>
      <c r="C727" t="s">
        <v>517</v>
      </c>
      <c r="D727" t="str">
        <f>IF(_xlfn.XLOOKUP(C727, ABZ!A:A, ABZ!B:B, "", 0) = 0, "", _xlfn.XLOOKUP(C727, ABZ!A:A, ABZ!B:B, "", 0))</f>
        <v>KOM-Marketing</v>
      </c>
      <c r="E727" t="s">
        <v>834</v>
      </c>
      <c r="F727" t="s">
        <v>528</v>
      </c>
      <c r="I727">
        <f t="shared" si="33"/>
        <v>0</v>
      </c>
      <c r="J727" t="s">
        <v>875</v>
      </c>
      <c r="K727" t="s">
        <v>870</v>
      </c>
      <c r="L727" s="9">
        <v>46091</v>
      </c>
      <c r="M727" s="9">
        <v>46091</v>
      </c>
      <c r="N727" s="18">
        <f t="shared" ca="1" si="34"/>
        <v>0</v>
      </c>
      <c r="O727" s="9">
        <v>46094</v>
      </c>
      <c r="P727" s="9" t="str">
        <f t="shared" si="35"/>
        <v>✅ Ja</v>
      </c>
      <c r="Q727" t="s">
        <v>841</v>
      </c>
      <c r="S727" t="s">
        <v>839</v>
      </c>
      <c r="T727" t="s">
        <v>540</v>
      </c>
      <c r="U727" t="s">
        <v>668</v>
      </c>
    </row>
    <row r="728" spans="2:21" x14ac:dyDescent="0.25">
      <c r="B728" s="3" t="s">
        <v>341</v>
      </c>
      <c r="C728" t="s">
        <v>518</v>
      </c>
      <c r="D728" t="str">
        <f>IF(_xlfn.XLOOKUP(C728, ABZ!A:A, ABZ!B:B, "", 0) = 0, "", _xlfn.XLOOKUP(C728, ABZ!A:A, ABZ!B:B, "", 0))</f>
        <v>KOM-PR</v>
      </c>
      <c r="E728" t="s">
        <v>835</v>
      </c>
      <c r="F728" t="s">
        <v>532</v>
      </c>
      <c r="H728">
        <v>2</v>
      </c>
      <c r="I728">
        <f t="shared" si="33"/>
        <v>0</v>
      </c>
      <c r="J728" t="s">
        <v>875</v>
      </c>
      <c r="L728" s="9">
        <v>46091</v>
      </c>
      <c r="M728" s="9">
        <v>46097</v>
      </c>
      <c r="N728" s="18">
        <f t="shared" ca="1" si="34"/>
        <v>6</v>
      </c>
      <c r="O728" s="9">
        <v>46105</v>
      </c>
      <c r="P728" s="9" t="str">
        <f t="shared" si="35"/>
        <v>✅ Ja</v>
      </c>
      <c r="Q728" t="s">
        <v>838</v>
      </c>
      <c r="S728" t="s">
        <v>840</v>
      </c>
      <c r="T728" t="s">
        <v>540</v>
      </c>
      <c r="U728" t="s">
        <v>641</v>
      </c>
    </row>
    <row r="729" spans="2:21" x14ac:dyDescent="0.25">
      <c r="B729" s="3" t="s">
        <v>342</v>
      </c>
      <c r="C729" t="s">
        <v>518</v>
      </c>
      <c r="D729" t="str">
        <f>IF(_xlfn.XLOOKUP(C729, ABZ!A:A, ABZ!B:B, "", 0) = 0, "", _xlfn.XLOOKUP(C729, ABZ!A:A, ABZ!B:B, "", 0))</f>
        <v>KOM-PR</v>
      </c>
      <c r="E729" t="s">
        <v>835</v>
      </c>
      <c r="F729" t="s">
        <v>532</v>
      </c>
      <c r="H729">
        <v>2</v>
      </c>
      <c r="I729">
        <f t="shared" si="33"/>
        <v>0</v>
      </c>
      <c r="J729" t="s">
        <v>875</v>
      </c>
      <c r="L729" s="9">
        <v>46091</v>
      </c>
      <c r="M729" s="9">
        <v>46097</v>
      </c>
      <c r="N729" s="18">
        <f t="shared" ca="1" si="34"/>
        <v>6</v>
      </c>
      <c r="O729" s="9">
        <v>46105</v>
      </c>
      <c r="P729" s="9" t="str">
        <f t="shared" si="35"/>
        <v>✅ Ja</v>
      </c>
      <c r="Q729" t="s">
        <v>838</v>
      </c>
      <c r="S729" t="s">
        <v>840</v>
      </c>
      <c r="T729" t="s">
        <v>540</v>
      </c>
      <c r="U729" t="s">
        <v>641</v>
      </c>
    </row>
    <row r="730" spans="2:21" x14ac:dyDescent="0.25">
      <c r="B730" s="3" t="s">
        <v>343</v>
      </c>
      <c r="C730" t="s">
        <v>518</v>
      </c>
      <c r="D730" t="str">
        <f>IF(_xlfn.XLOOKUP(C730, ABZ!A:A, ABZ!B:B, "", 0) = 0, "", _xlfn.XLOOKUP(C730, ABZ!A:A, ABZ!B:B, "", 0))</f>
        <v>KOM-PR</v>
      </c>
      <c r="E730" t="s">
        <v>835</v>
      </c>
      <c r="F730" t="s">
        <v>532</v>
      </c>
      <c r="H730">
        <v>2</v>
      </c>
      <c r="I730">
        <f t="shared" si="33"/>
        <v>0</v>
      </c>
      <c r="J730" t="s">
        <v>875</v>
      </c>
      <c r="L730" s="9">
        <v>46091</v>
      </c>
      <c r="M730" s="9">
        <v>46097</v>
      </c>
      <c r="N730" s="18">
        <f t="shared" ca="1" si="34"/>
        <v>6</v>
      </c>
      <c r="O730" s="9">
        <v>46105</v>
      </c>
      <c r="P730" s="9" t="str">
        <f t="shared" si="35"/>
        <v>✅ Ja</v>
      </c>
      <c r="Q730" t="s">
        <v>838</v>
      </c>
      <c r="S730" t="s">
        <v>840</v>
      </c>
      <c r="T730" t="s">
        <v>540</v>
      </c>
      <c r="U730" t="s">
        <v>641</v>
      </c>
    </row>
    <row r="731" spans="2:21" x14ac:dyDescent="0.25">
      <c r="B731" s="3" t="s">
        <v>341</v>
      </c>
      <c r="C731" t="s">
        <v>518</v>
      </c>
      <c r="D731" t="str">
        <f>IF(_xlfn.XLOOKUP(C731, ABZ!A:A, ABZ!B:B, "", 0) = 0, "", _xlfn.XLOOKUP(C731, ABZ!A:A, ABZ!B:B, "", 0))</f>
        <v>KOM-PR</v>
      </c>
      <c r="E731" t="s">
        <v>834</v>
      </c>
      <c r="F731" t="s">
        <v>530</v>
      </c>
      <c r="I731">
        <f t="shared" si="33"/>
        <v>0</v>
      </c>
      <c r="J731" t="s">
        <v>875</v>
      </c>
      <c r="L731" s="9">
        <v>46091</v>
      </c>
      <c r="M731" s="9">
        <v>46104</v>
      </c>
      <c r="N731" s="18">
        <f t="shared" ca="1" si="34"/>
        <v>13</v>
      </c>
      <c r="O731" s="9">
        <v>46105</v>
      </c>
      <c r="P731" s="9" t="str">
        <f t="shared" si="35"/>
        <v>✅ Ja</v>
      </c>
      <c r="Q731" t="s">
        <v>844</v>
      </c>
      <c r="R731" t="s">
        <v>839</v>
      </c>
      <c r="S731" t="s">
        <v>840</v>
      </c>
      <c r="T731" t="s">
        <v>540</v>
      </c>
      <c r="U731" t="s">
        <v>641</v>
      </c>
    </row>
    <row r="732" spans="2:21" x14ac:dyDescent="0.25">
      <c r="B732" s="3" t="s">
        <v>342</v>
      </c>
      <c r="C732" t="s">
        <v>518</v>
      </c>
      <c r="D732" t="str">
        <f>IF(_xlfn.XLOOKUP(C732, ABZ!A:A, ABZ!B:B, "", 0) = 0, "", _xlfn.XLOOKUP(C732, ABZ!A:A, ABZ!B:B, "", 0))</f>
        <v>KOM-PR</v>
      </c>
      <c r="E732" t="s">
        <v>834</v>
      </c>
      <c r="F732" t="s">
        <v>530</v>
      </c>
      <c r="I732">
        <f t="shared" si="33"/>
        <v>0</v>
      </c>
      <c r="J732" t="s">
        <v>875</v>
      </c>
      <c r="L732" s="9">
        <v>46091</v>
      </c>
      <c r="M732" s="9">
        <v>46104</v>
      </c>
      <c r="N732" s="18">
        <f t="shared" ca="1" si="34"/>
        <v>13</v>
      </c>
      <c r="O732" s="9">
        <v>46105</v>
      </c>
      <c r="P732" s="9" t="str">
        <f t="shared" si="35"/>
        <v>✅ Ja</v>
      </c>
      <c r="Q732" t="s">
        <v>844</v>
      </c>
      <c r="R732" t="s">
        <v>839</v>
      </c>
      <c r="S732" t="s">
        <v>840</v>
      </c>
      <c r="T732" t="s">
        <v>540</v>
      </c>
      <c r="U732" t="s">
        <v>641</v>
      </c>
    </row>
    <row r="733" spans="2:21" x14ac:dyDescent="0.25">
      <c r="B733" s="3" t="s">
        <v>343</v>
      </c>
      <c r="C733" t="s">
        <v>518</v>
      </c>
      <c r="D733" t="str">
        <f>IF(_xlfn.XLOOKUP(C733, ABZ!A:A, ABZ!B:B, "", 0) = 0, "", _xlfn.XLOOKUP(C733, ABZ!A:A, ABZ!B:B, "", 0))</f>
        <v>KOM-PR</v>
      </c>
      <c r="E733" t="s">
        <v>834</v>
      </c>
      <c r="F733" t="s">
        <v>530</v>
      </c>
      <c r="I733">
        <f t="shared" si="33"/>
        <v>0</v>
      </c>
      <c r="J733" t="s">
        <v>875</v>
      </c>
      <c r="L733" s="9">
        <v>46091</v>
      </c>
      <c r="M733" s="9">
        <v>46104</v>
      </c>
      <c r="N733" s="18">
        <f t="shared" ca="1" si="34"/>
        <v>13</v>
      </c>
      <c r="O733" s="9">
        <v>46105</v>
      </c>
      <c r="P733" s="9" t="str">
        <f t="shared" si="35"/>
        <v>✅ Ja</v>
      </c>
      <c r="Q733" t="s">
        <v>844</v>
      </c>
      <c r="R733" t="s">
        <v>839</v>
      </c>
      <c r="S733" t="s">
        <v>840</v>
      </c>
      <c r="T733" t="s">
        <v>540</v>
      </c>
      <c r="U733" t="s">
        <v>641</v>
      </c>
    </row>
    <row r="734" spans="2:21" x14ac:dyDescent="0.25">
      <c r="B734" s="3" t="s">
        <v>344</v>
      </c>
      <c r="C734" t="s">
        <v>463</v>
      </c>
      <c r="D734" t="str">
        <f>IF(_xlfn.XLOOKUP(C734, ABZ!A:A, ABZ!B:B, "", 0) = 0, "", _xlfn.XLOOKUP(C734, ABZ!A:A, ABZ!B:B, "", 0))</f>
        <v>D2C-MarketingContent</v>
      </c>
      <c r="E734" t="s">
        <v>834</v>
      </c>
      <c r="F734" t="s">
        <v>529</v>
      </c>
      <c r="I734">
        <f t="shared" si="33"/>
        <v>0</v>
      </c>
      <c r="J734" t="s">
        <v>875</v>
      </c>
      <c r="L734" s="9">
        <v>46091</v>
      </c>
      <c r="M734" s="9">
        <v>46098</v>
      </c>
      <c r="N734" s="18">
        <f t="shared" ca="1" si="34"/>
        <v>7</v>
      </c>
      <c r="O734" s="9">
        <v>46098</v>
      </c>
      <c r="P734" s="9" t="str">
        <f t="shared" si="35"/>
        <v>✅ Ja</v>
      </c>
      <c r="Q734" t="s">
        <v>837</v>
      </c>
      <c r="S734" t="s">
        <v>841</v>
      </c>
      <c r="T734" t="s">
        <v>540</v>
      </c>
      <c r="U734" t="s">
        <v>642</v>
      </c>
    </row>
    <row r="735" spans="2:21" x14ac:dyDescent="0.25">
      <c r="B735" s="3" t="s">
        <v>344</v>
      </c>
      <c r="C735" t="s">
        <v>463</v>
      </c>
      <c r="D735" t="str">
        <f>IF(_xlfn.XLOOKUP(C735, ABZ!A:A, ABZ!B:B, "", 0) = 0, "", _xlfn.XLOOKUP(C735, ABZ!A:A, ABZ!B:B, "", 0))</f>
        <v>D2C-MarketingContent</v>
      </c>
      <c r="E735" t="s">
        <v>834</v>
      </c>
      <c r="F735" t="s">
        <v>528</v>
      </c>
      <c r="I735">
        <f t="shared" si="33"/>
        <v>0</v>
      </c>
      <c r="J735" t="s">
        <v>875</v>
      </c>
      <c r="L735" s="9">
        <v>46091</v>
      </c>
      <c r="M735" s="9">
        <v>46098</v>
      </c>
      <c r="N735" s="18">
        <f t="shared" ca="1" si="34"/>
        <v>7</v>
      </c>
      <c r="O735" s="9">
        <v>46098</v>
      </c>
      <c r="P735" s="9" t="str">
        <f t="shared" si="35"/>
        <v>✅ Ja</v>
      </c>
      <c r="Q735" t="s">
        <v>847</v>
      </c>
      <c r="R735" t="s">
        <v>841</v>
      </c>
      <c r="S735" t="s">
        <v>841</v>
      </c>
      <c r="T735" t="s">
        <v>540</v>
      </c>
      <c r="U735" t="s">
        <v>642</v>
      </c>
    </row>
    <row r="736" spans="2:21" x14ac:dyDescent="0.25">
      <c r="B736" s="3" t="s">
        <v>344</v>
      </c>
      <c r="C736" t="s">
        <v>463</v>
      </c>
      <c r="D736" t="str">
        <f>IF(_xlfn.XLOOKUP(C736, ABZ!A:A, ABZ!B:B, "", 0) = 0, "", _xlfn.XLOOKUP(C736, ABZ!A:A, ABZ!B:B, "", 0))</f>
        <v>D2C-MarketingContent</v>
      </c>
      <c r="E736" t="s">
        <v>834</v>
      </c>
      <c r="F736" t="s">
        <v>527</v>
      </c>
      <c r="I736">
        <f t="shared" si="33"/>
        <v>0</v>
      </c>
      <c r="J736" t="s">
        <v>875</v>
      </c>
      <c r="L736" s="9">
        <v>46091</v>
      </c>
      <c r="M736" s="9">
        <v>46098</v>
      </c>
      <c r="N736" s="18">
        <f t="shared" ca="1" si="34"/>
        <v>7</v>
      </c>
      <c r="O736" s="9">
        <v>46098</v>
      </c>
      <c r="P736" s="9" t="str">
        <f t="shared" si="35"/>
        <v>✅ Ja</v>
      </c>
      <c r="Q736" t="s">
        <v>836</v>
      </c>
      <c r="S736" t="s">
        <v>841</v>
      </c>
      <c r="T736" t="s">
        <v>540</v>
      </c>
      <c r="U736" t="s">
        <v>642</v>
      </c>
    </row>
    <row r="737" spans="2:21" x14ac:dyDescent="0.25">
      <c r="B737" s="3" t="s">
        <v>344</v>
      </c>
      <c r="C737" t="s">
        <v>463</v>
      </c>
      <c r="D737" t="str">
        <f>IF(_xlfn.XLOOKUP(C737, ABZ!A:A, ABZ!B:B, "", 0) = 0, "", _xlfn.XLOOKUP(C737, ABZ!A:A, ABZ!B:B, "", 0))</f>
        <v>D2C-MarketingContent</v>
      </c>
      <c r="E737" t="s">
        <v>834</v>
      </c>
      <c r="F737" t="s">
        <v>530</v>
      </c>
      <c r="I737">
        <f t="shared" si="33"/>
        <v>0</v>
      </c>
      <c r="J737" t="s">
        <v>875</v>
      </c>
      <c r="L737" s="9">
        <v>46091</v>
      </c>
      <c r="M737" s="9">
        <v>46098</v>
      </c>
      <c r="N737" s="18">
        <f t="shared" ca="1" si="34"/>
        <v>7</v>
      </c>
      <c r="O737" s="9">
        <v>46098</v>
      </c>
      <c r="P737" s="9" t="str">
        <f t="shared" si="35"/>
        <v>✅ Ja</v>
      </c>
      <c r="Q737" t="s">
        <v>839</v>
      </c>
      <c r="S737" t="s">
        <v>841</v>
      </c>
      <c r="T737" t="s">
        <v>540</v>
      </c>
      <c r="U737" t="s">
        <v>643</v>
      </c>
    </row>
    <row r="738" spans="2:21" x14ac:dyDescent="0.25">
      <c r="B738" t="s">
        <v>345</v>
      </c>
      <c r="C738" t="s">
        <v>519</v>
      </c>
      <c r="D738" t="str">
        <f>IF(_xlfn.XLOOKUP(C738, ABZ!A:A, ABZ!B:B, "", 0) = 0, "", _xlfn.XLOOKUP(C738, ABZ!A:A, ABZ!B:B, "", 0))</f>
        <v>ENT-BA-GUI-JS3</v>
      </c>
      <c r="E738" t="s">
        <v>834</v>
      </c>
      <c r="F738" t="s">
        <v>529</v>
      </c>
      <c r="I738">
        <f t="shared" si="33"/>
        <v>1</v>
      </c>
      <c r="L738" s="9">
        <v>46091</v>
      </c>
      <c r="M738" s="9">
        <v>46093</v>
      </c>
      <c r="N738" s="18">
        <f t="shared" ca="1" si="34"/>
        <v>2</v>
      </c>
      <c r="O738" s="9">
        <v>46093</v>
      </c>
      <c r="P738" s="9" t="str">
        <f t="shared" si="35"/>
        <v>✅ Ja</v>
      </c>
      <c r="Q738" t="s">
        <v>846</v>
      </c>
      <c r="S738" t="s">
        <v>841</v>
      </c>
      <c r="T738" t="s">
        <v>540</v>
      </c>
      <c r="U738" t="s">
        <v>669</v>
      </c>
    </row>
    <row r="739" spans="2:21" x14ac:dyDescent="0.25">
      <c r="B739" t="s">
        <v>345</v>
      </c>
      <c r="C739" t="s">
        <v>519</v>
      </c>
      <c r="D739" t="str">
        <f>IF(_xlfn.XLOOKUP(C739, ABZ!A:A, ABZ!B:B, "", 0) = 0, "", _xlfn.XLOOKUP(C739, ABZ!A:A, ABZ!B:B, "", 0))</f>
        <v>ENT-BA-GUI-JS3</v>
      </c>
      <c r="E739" t="s">
        <v>834</v>
      </c>
      <c r="F739" t="s">
        <v>530</v>
      </c>
      <c r="I739">
        <f t="shared" si="33"/>
        <v>1</v>
      </c>
      <c r="L739" s="9">
        <v>46091</v>
      </c>
      <c r="M739" s="9">
        <v>46092</v>
      </c>
      <c r="N739" s="18">
        <f t="shared" ca="1" si="34"/>
        <v>1</v>
      </c>
      <c r="O739" s="9">
        <v>46093</v>
      </c>
      <c r="P739" s="9" t="str">
        <f t="shared" si="35"/>
        <v>✅ Ja</v>
      </c>
      <c r="Q739" t="s">
        <v>839</v>
      </c>
      <c r="S739" t="s">
        <v>841</v>
      </c>
      <c r="T739" t="s">
        <v>540</v>
      </c>
      <c r="U739" t="s">
        <v>669</v>
      </c>
    </row>
    <row r="740" spans="2:21" x14ac:dyDescent="0.25">
      <c r="B740" t="s">
        <v>345</v>
      </c>
      <c r="C740" t="s">
        <v>519</v>
      </c>
      <c r="D740" t="str">
        <f>IF(_xlfn.XLOOKUP(C740, ABZ!A:A, ABZ!B:B, "", 0) = 0, "", _xlfn.XLOOKUP(C740, ABZ!A:A, ABZ!B:B, "", 0))</f>
        <v>ENT-BA-GUI-JS3</v>
      </c>
      <c r="E740" t="s">
        <v>834</v>
      </c>
      <c r="F740" t="s">
        <v>531</v>
      </c>
      <c r="I740">
        <f t="shared" si="33"/>
        <v>1</v>
      </c>
      <c r="L740" s="9">
        <v>46091</v>
      </c>
      <c r="M740" s="9">
        <v>46092</v>
      </c>
      <c r="N740" s="18">
        <f t="shared" ca="1" si="34"/>
        <v>1</v>
      </c>
      <c r="O740" s="9">
        <v>46093</v>
      </c>
      <c r="P740" s="9" t="str">
        <f t="shared" si="35"/>
        <v>✅ Ja</v>
      </c>
      <c r="Q740" t="s">
        <v>840</v>
      </c>
      <c r="S740" t="s">
        <v>841</v>
      </c>
      <c r="T740" t="s">
        <v>540</v>
      </c>
      <c r="U740" t="s">
        <v>669</v>
      </c>
    </row>
    <row r="741" spans="2:21" x14ac:dyDescent="0.25">
      <c r="B741" t="s">
        <v>345</v>
      </c>
      <c r="C741" t="s">
        <v>519</v>
      </c>
      <c r="D741" t="str">
        <f>IF(_xlfn.XLOOKUP(C741, ABZ!A:A, ABZ!B:B, "", 0) = 0, "", _xlfn.XLOOKUP(C741, ABZ!A:A, ABZ!B:B, "", 0))</f>
        <v>ENT-BA-GUI-JS3</v>
      </c>
      <c r="E741" t="s">
        <v>834</v>
      </c>
      <c r="F741" t="s">
        <v>528</v>
      </c>
      <c r="I741">
        <f t="shared" si="33"/>
        <v>1</v>
      </c>
      <c r="L741" s="9">
        <v>46091</v>
      </c>
      <c r="M741" s="9">
        <v>46092</v>
      </c>
      <c r="N741" s="18">
        <f t="shared" ca="1" si="34"/>
        <v>1</v>
      </c>
      <c r="O741" s="9">
        <v>46093</v>
      </c>
      <c r="P741" s="9" t="str">
        <f t="shared" si="35"/>
        <v>✅ Ja</v>
      </c>
      <c r="Q741" t="s">
        <v>841</v>
      </c>
      <c r="S741" t="s">
        <v>841</v>
      </c>
      <c r="T741" t="s">
        <v>540</v>
      </c>
      <c r="U741" t="s">
        <v>669</v>
      </c>
    </row>
    <row r="742" spans="2:21" x14ac:dyDescent="0.25">
      <c r="B742" t="s">
        <v>345</v>
      </c>
      <c r="C742" t="s">
        <v>519</v>
      </c>
      <c r="D742" t="str">
        <f>IF(_xlfn.XLOOKUP(C742, ABZ!A:A, ABZ!B:B, "", 0) = 0, "", _xlfn.XLOOKUP(C742, ABZ!A:A, ABZ!B:B, "", 0))</f>
        <v>ENT-BA-GUI-JS3</v>
      </c>
      <c r="E742" t="s">
        <v>834</v>
      </c>
      <c r="F742" t="s">
        <v>527</v>
      </c>
      <c r="I742">
        <f t="shared" si="33"/>
        <v>1</v>
      </c>
      <c r="L742" s="9">
        <v>46091</v>
      </c>
      <c r="M742" s="9">
        <v>46092</v>
      </c>
      <c r="N742" s="18">
        <f t="shared" ca="1" si="34"/>
        <v>1</v>
      </c>
      <c r="O742" s="9">
        <v>46093</v>
      </c>
      <c r="P742" s="9" t="str">
        <f t="shared" si="35"/>
        <v>✅ Ja</v>
      </c>
      <c r="Q742" t="s">
        <v>836</v>
      </c>
      <c r="S742" t="s">
        <v>841</v>
      </c>
      <c r="T742" t="s">
        <v>540</v>
      </c>
      <c r="U742" t="s">
        <v>669</v>
      </c>
    </row>
    <row r="743" spans="2:21" x14ac:dyDescent="0.25">
      <c r="B743" t="s">
        <v>345</v>
      </c>
      <c r="C743" t="s">
        <v>519</v>
      </c>
      <c r="D743" t="str">
        <f>IF(_xlfn.XLOOKUP(C743, ABZ!A:A, ABZ!B:B, "", 0) = 0, "", _xlfn.XLOOKUP(C743, ABZ!A:A, ABZ!B:B, "", 0))</f>
        <v>ENT-BA-GUI-JS3</v>
      </c>
      <c r="E743" t="s">
        <v>834</v>
      </c>
      <c r="F743" t="s">
        <v>535</v>
      </c>
      <c r="I743">
        <f t="shared" si="33"/>
        <v>1</v>
      </c>
      <c r="L743" s="9">
        <v>46091</v>
      </c>
      <c r="M743" s="9">
        <v>46093</v>
      </c>
      <c r="N743" s="18">
        <f t="shared" ca="1" si="34"/>
        <v>2</v>
      </c>
      <c r="O743" s="9">
        <v>46093</v>
      </c>
      <c r="P743" s="9" t="str">
        <f t="shared" si="35"/>
        <v>✅ Ja</v>
      </c>
      <c r="Q743" t="s">
        <v>842</v>
      </c>
      <c r="S743" t="s">
        <v>838</v>
      </c>
      <c r="T743" t="s">
        <v>540</v>
      </c>
      <c r="U743" t="s">
        <v>669</v>
      </c>
    </row>
    <row r="744" spans="2:21" x14ac:dyDescent="0.25">
      <c r="B744" t="s">
        <v>345</v>
      </c>
      <c r="C744" t="s">
        <v>519</v>
      </c>
      <c r="D744" t="str">
        <f>IF(_xlfn.XLOOKUP(C744, ABZ!A:A, ABZ!B:B, "", 0) = 0, "", _xlfn.XLOOKUP(C744, ABZ!A:A, ABZ!B:B, "", 0))</f>
        <v>ENT-BA-GUI-JS3</v>
      </c>
      <c r="E744" t="s">
        <v>834</v>
      </c>
      <c r="F744" t="s">
        <v>538</v>
      </c>
      <c r="I744">
        <f t="shared" si="33"/>
        <v>1</v>
      </c>
      <c r="L744" s="9">
        <v>46091</v>
      </c>
      <c r="M744" s="9">
        <v>46093</v>
      </c>
      <c r="N744" s="18">
        <f t="shared" ca="1" si="34"/>
        <v>2</v>
      </c>
      <c r="O744" s="9">
        <v>46093</v>
      </c>
      <c r="P744" s="9" t="str">
        <f t="shared" si="35"/>
        <v>✅ Ja</v>
      </c>
      <c r="Q744" t="s">
        <v>842</v>
      </c>
      <c r="S744" t="s">
        <v>838</v>
      </c>
      <c r="T744" t="s">
        <v>540</v>
      </c>
      <c r="U744" t="s">
        <v>669</v>
      </c>
    </row>
    <row r="745" spans="2:21" x14ac:dyDescent="0.25">
      <c r="B745" t="s">
        <v>346</v>
      </c>
      <c r="C745" t="s">
        <v>519</v>
      </c>
      <c r="D745" t="str">
        <f>IF(_xlfn.XLOOKUP(C745, ABZ!A:A, ABZ!B:B, "", 0) = 0, "", _xlfn.XLOOKUP(C745, ABZ!A:A, ABZ!B:B, "", 0))</f>
        <v>ENT-BA-GUI-JS3</v>
      </c>
      <c r="E745" t="s">
        <v>834</v>
      </c>
      <c r="F745" t="s">
        <v>529</v>
      </c>
      <c r="I745">
        <f t="shared" si="33"/>
        <v>1</v>
      </c>
      <c r="L745" s="9">
        <v>46091</v>
      </c>
      <c r="M745" s="9">
        <v>46093</v>
      </c>
      <c r="N745" s="18">
        <f t="shared" ca="1" si="34"/>
        <v>2</v>
      </c>
      <c r="O745" s="9">
        <v>46093</v>
      </c>
      <c r="P745" s="9" t="str">
        <f t="shared" si="35"/>
        <v>✅ Ja</v>
      </c>
      <c r="Q745" t="s">
        <v>846</v>
      </c>
      <c r="S745" t="s">
        <v>841</v>
      </c>
      <c r="T745" t="s">
        <v>540</v>
      </c>
      <c r="U745" t="s">
        <v>669</v>
      </c>
    </row>
    <row r="746" spans="2:21" x14ac:dyDescent="0.25">
      <c r="B746" t="s">
        <v>346</v>
      </c>
      <c r="C746" t="s">
        <v>519</v>
      </c>
      <c r="D746" t="str">
        <f>IF(_xlfn.XLOOKUP(C746, ABZ!A:A, ABZ!B:B, "", 0) = 0, "", _xlfn.XLOOKUP(C746, ABZ!A:A, ABZ!B:B, "", 0))</f>
        <v>ENT-BA-GUI-JS3</v>
      </c>
      <c r="E746" t="s">
        <v>834</v>
      </c>
      <c r="F746" t="s">
        <v>530</v>
      </c>
      <c r="I746">
        <f t="shared" si="33"/>
        <v>1</v>
      </c>
      <c r="L746" s="9">
        <v>46091</v>
      </c>
      <c r="M746" s="9">
        <v>46093</v>
      </c>
      <c r="N746" s="18">
        <f t="shared" ca="1" si="34"/>
        <v>2</v>
      </c>
      <c r="O746" s="9">
        <v>46093</v>
      </c>
      <c r="P746" s="9" t="str">
        <f t="shared" si="35"/>
        <v>✅ Ja</v>
      </c>
      <c r="Q746" t="s">
        <v>839</v>
      </c>
      <c r="S746" t="s">
        <v>841</v>
      </c>
      <c r="T746" t="s">
        <v>540</v>
      </c>
      <c r="U746" t="s">
        <v>669</v>
      </c>
    </row>
    <row r="747" spans="2:21" x14ac:dyDescent="0.25">
      <c r="B747" t="s">
        <v>346</v>
      </c>
      <c r="C747" t="s">
        <v>519</v>
      </c>
      <c r="D747" t="str">
        <f>IF(_xlfn.XLOOKUP(C747, ABZ!A:A, ABZ!B:B, "", 0) = 0, "", _xlfn.XLOOKUP(C747, ABZ!A:A, ABZ!B:B, "", 0))</f>
        <v>ENT-BA-GUI-JS3</v>
      </c>
      <c r="E747" t="s">
        <v>834</v>
      </c>
      <c r="F747" t="s">
        <v>531</v>
      </c>
      <c r="I747">
        <f t="shared" si="33"/>
        <v>1</v>
      </c>
      <c r="L747" s="9">
        <v>46091</v>
      </c>
      <c r="M747" s="9">
        <v>46093</v>
      </c>
      <c r="N747" s="18">
        <f t="shared" ca="1" si="34"/>
        <v>2</v>
      </c>
      <c r="O747" s="9">
        <v>46093</v>
      </c>
      <c r="P747" s="9" t="str">
        <f t="shared" si="35"/>
        <v>✅ Ja</v>
      </c>
      <c r="Q747" t="s">
        <v>840</v>
      </c>
      <c r="S747" t="s">
        <v>841</v>
      </c>
      <c r="T747" t="s">
        <v>540</v>
      </c>
      <c r="U747" t="s">
        <v>669</v>
      </c>
    </row>
    <row r="748" spans="2:21" x14ac:dyDescent="0.25">
      <c r="B748" t="s">
        <v>346</v>
      </c>
      <c r="C748" t="s">
        <v>519</v>
      </c>
      <c r="D748" t="str">
        <f>IF(_xlfn.XLOOKUP(C748, ABZ!A:A, ABZ!B:B, "", 0) = 0, "", _xlfn.XLOOKUP(C748, ABZ!A:A, ABZ!B:B, "", 0))</f>
        <v>ENT-BA-GUI-JS3</v>
      </c>
      <c r="E748" t="s">
        <v>834</v>
      </c>
      <c r="F748" t="s">
        <v>528</v>
      </c>
      <c r="I748">
        <f t="shared" si="33"/>
        <v>1</v>
      </c>
      <c r="L748" s="9">
        <v>46091</v>
      </c>
      <c r="M748" s="9">
        <v>46093</v>
      </c>
      <c r="N748" s="18">
        <f t="shared" ca="1" si="34"/>
        <v>2</v>
      </c>
      <c r="O748" s="9">
        <v>46093</v>
      </c>
      <c r="P748" s="9" t="str">
        <f t="shared" si="35"/>
        <v>✅ Ja</v>
      </c>
      <c r="Q748" t="s">
        <v>841</v>
      </c>
      <c r="S748" t="s">
        <v>841</v>
      </c>
      <c r="T748" t="s">
        <v>540</v>
      </c>
      <c r="U748" t="s">
        <v>669</v>
      </c>
    </row>
    <row r="749" spans="2:21" x14ac:dyDescent="0.25">
      <c r="B749" t="s">
        <v>346</v>
      </c>
      <c r="C749" t="s">
        <v>519</v>
      </c>
      <c r="D749" t="str">
        <f>IF(_xlfn.XLOOKUP(C749, ABZ!A:A, ABZ!B:B, "", 0) = 0, "", _xlfn.XLOOKUP(C749, ABZ!A:A, ABZ!B:B, "", 0))</f>
        <v>ENT-BA-GUI-JS3</v>
      </c>
      <c r="E749" t="s">
        <v>834</v>
      </c>
      <c r="F749" t="s">
        <v>527</v>
      </c>
      <c r="I749">
        <f t="shared" si="33"/>
        <v>1</v>
      </c>
      <c r="L749" s="9">
        <v>46091</v>
      </c>
      <c r="M749" s="9">
        <v>46093</v>
      </c>
      <c r="N749" s="18">
        <f t="shared" ca="1" si="34"/>
        <v>2</v>
      </c>
      <c r="O749" s="9">
        <v>46093</v>
      </c>
      <c r="P749" s="9" t="str">
        <f t="shared" si="35"/>
        <v>✅ Ja</v>
      </c>
      <c r="Q749" t="s">
        <v>836</v>
      </c>
      <c r="S749" t="s">
        <v>841</v>
      </c>
      <c r="T749" t="s">
        <v>540</v>
      </c>
      <c r="U749" t="s">
        <v>669</v>
      </c>
    </row>
    <row r="750" spans="2:21" x14ac:dyDescent="0.25">
      <c r="B750" t="s">
        <v>346</v>
      </c>
      <c r="C750" t="s">
        <v>519</v>
      </c>
      <c r="D750" t="str">
        <f>IF(_xlfn.XLOOKUP(C750, ABZ!A:A, ABZ!B:B, "", 0) = 0, "", _xlfn.XLOOKUP(C750, ABZ!A:A, ABZ!B:B, "", 0))</f>
        <v>ENT-BA-GUI-JS3</v>
      </c>
      <c r="E750" t="s">
        <v>834</v>
      </c>
      <c r="F750" t="s">
        <v>535</v>
      </c>
      <c r="I750">
        <f t="shared" si="33"/>
        <v>1</v>
      </c>
      <c r="L750" s="9">
        <v>46091</v>
      </c>
      <c r="M750" s="9">
        <v>46094</v>
      </c>
      <c r="N750" s="18">
        <f t="shared" ca="1" si="34"/>
        <v>3</v>
      </c>
      <c r="O750" s="9">
        <v>46093</v>
      </c>
      <c r="P750" s="9" t="str">
        <f t="shared" si="35"/>
        <v>❌ Nein</v>
      </c>
      <c r="Q750" t="s">
        <v>842</v>
      </c>
      <c r="S750" t="s">
        <v>838</v>
      </c>
      <c r="T750" t="s">
        <v>540</v>
      </c>
      <c r="U750" t="s">
        <v>669</v>
      </c>
    </row>
    <row r="751" spans="2:21" x14ac:dyDescent="0.25">
      <c r="B751" t="s">
        <v>346</v>
      </c>
      <c r="C751" t="s">
        <v>519</v>
      </c>
      <c r="D751" t="str">
        <f>IF(_xlfn.XLOOKUP(C751, ABZ!A:A, ABZ!B:B, "", 0) = 0, "", _xlfn.XLOOKUP(C751, ABZ!A:A, ABZ!B:B, "", 0))</f>
        <v>ENT-BA-GUI-JS3</v>
      </c>
      <c r="E751" t="s">
        <v>834</v>
      </c>
      <c r="F751" t="s">
        <v>538</v>
      </c>
      <c r="I751">
        <f t="shared" si="33"/>
        <v>1</v>
      </c>
      <c r="L751" s="9">
        <v>46091</v>
      </c>
      <c r="M751" s="9">
        <v>46094</v>
      </c>
      <c r="N751" s="18">
        <f t="shared" ca="1" si="34"/>
        <v>3</v>
      </c>
      <c r="O751" s="9">
        <v>46093</v>
      </c>
      <c r="P751" s="9" t="str">
        <f t="shared" si="35"/>
        <v>❌ Nein</v>
      </c>
      <c r="Q751" t="s">
        <v>842</v>
      </c>
      <c r="S751" t="s">
        <v>838</v>
      </c>
      <c r="T751" t="s">
        <v>540</v>
      </c>
      <c r="U751" t="s">
        <v>669</v>
      </c>
    </row>
    <row r="752" spans="2:21" x14ac:dyDescent="0.25">
      <c r="B752" t="s">
        <v>324</v>
      </c>
      <c r="C752" t="s">
        <v>514</v>
      </c>
      <c r="D752" t="str">
        <f>IF(_xlfn.XLOOKUP(C752, ABZ!A:A, ABZ!B:B, "", 0) = 0, "", _xlfn.XLOOKUP(C752, ABZ!A:A, ABZ!B:B, "", 0))</f>
        <v>ENT-UIC-Android</v>
      </c>
      <c r="E752" t="s">
        <v>834</v>
      </c>
      <c r="F752" t="s">
        <v>529</v>
      </c>
      <c r="I752">
        <f t="shared" si="33"/>
        <v>1</v>
      </c>
      <c r="J752" t="s">
        <v>873</v>
      </c>
      <c r="K752">
        <v>156115</v>
      </c>
      <c r="L752" s="9">
        <v>46091</v>
      </c>
      <c r="M752" s="9">
        <v>46092</v>
      </c>
      <c r="N752" s="18">
        <f t="shared" ca="1" si="34"/>
        <v>1</v>
      </c>
      <c r="O752" s="9">
        <v>46093</v>
      </c>
      <c r="P752" s="9" t="str">
        <f t="shared" si="35"/>
        <v>✅ Ja</v>
      </c>
      <c r="Q752" t="s">
        <v>846</v>
      </c>
      <c r="S752" t="s">
        <v>838</v>
      </c>
      <c r="T752" t="s">
        <v>540</v>
      </c>
      <c r="U752" t="s">
        <v>662</v>
      </c>
    </row>
    <row r="753" spans="2:21" x14ac:dyDescent="0.25">
      <c r="B753" t="s">
        <v>324</v>
      </c>
      <c r="C753" t="s">
        <v>514</v>
      </c>
      <c r="D753" t="str">
        <f>IF(_xlfn.XLOOKUP(C753, ABZ!A:A, ABZ!B:B, "", 0) = 0, "", _xlfn.XLOOKUP(C753, ABZ!A:A, ABZ!B:B, "", 0))</f>
        <v>ENT-UIC-Android</v>
      </c>
      <c r="E753" t="s">
        <v>834</v>
      </c>
      <c r="F753" t="s">
        <v>530</v>
      </c>
      <c r="I753">
        <f t="shared" si="33"/>
        <v>1</v>
      </c>
      <c r="J753" t="s">
        <v>873</v>
      </c>
      <c r="K753">
        <v>156115</v>
      </c>
      <c r="L753" s="9">
        <v>46091</v>
      </c>
      <c r="M753" s="9">
        <v>46092</v>
      </c>
      <c r="N753" s="18">
        <f t="shared" ca="1" si="34"/>
        <v>1</v>
      </c>
      <c r="O753" s="9">
        <v>46093</v>
      </c>
      <c r="P753" s="9" t="str">
        <f t="shared" si="35"/>
        <v>✅ Ja</v>
      </c>
      <c r="Q753" t="s">
        <v>839</v>
      </c>
      <c r="S753" t="s">
        <v>838</v>
      </c>
      <c r="T753" t="s">
        <v>540</v>
      </c>
      <c r="U753" t="s">
        <v>662</v>
      </c>
    </row>
    <row r="754" spans="2:21" x14ac:dyDescent="0.25">
      <c r="B754" t="s">
        <v>324</v>
      </c>
      <c r="C754" t="s">
        <v>514</v>
      </c>
      <c r="D754" t="str">
        <f>IF(_xlfn.XLOOKUP(C754, ABZ!A:A, ABZ!B:B, "", 0) = 0, "", _xlfn.XLOOKUP(C754, ABZ!A:A, ABZ!B:B, "", 0))</f>
        <v>ENT-UIC-Android</v>
      </c>
      <c r="E754" t="s">
        <v>834</v>
      </c>
      <c r="F754" t="s">
        <v>531</v>
      </c>
      <c r="I754">
        <f t="shared" si="33"/>
        <v>1</v>
      </c>
      <c r="J754" t="s">
        <v>873</v>
      </c>
      <c r="K754">
        <v>156115</v>
      </c>
      <c r="L754" s="9">
        <v>46091</v>
      </c>
      <c r="M754" s="9">
        <v>46092</v>
      </c>
      <c r="N754" s="18">
        <f t="shared" ca="1" si="34"/>
        <v>1</v>
      </c>
      <c r="O754" s="9">
        <v>46093</v>
      </c>
      <c r="P754" s="9" t="str">
        <f t="shared" si="35"/>
        <v>✅ Ja</v>
      </c>
      <c r="Q754" t="s">
        <v>843</v>
      </c>
      <c r="S754" t="s">
        <v>838</v>
      </c>
      <c r="T754" t="s">
        <v>540</v>
      </c>
      <c r="U754" t="s">
        <v>662</v>
      </c>
    </row>
    <row r="755" spans="2:21" x14ac:dyDescent="0.25">
      <c r="B755" t="s">
        <v>324</v>
      </c>
      <c r="C755" t="s">
        <v>514</v>
      </c>
      <c r="D755" t="str">
        <f>IF(_xlfn.XLOOKUP(C755, ABZ!A:A, ABZ!B:B, "", 0) = 0, "", _xlfn.XLOOKUP(C755, ABZ!A:A, ABZ!B:B, "", 0))</f>
        <v>ENT-UIC-Android</v>
      </c>
      <c r="E755" t="s">
        <v>834</v>
      </c>
      <c r="F755" t="s">
        <v>528</v>
      </c>
      <c r="I755">
        <f t="shared" si="33"/>
        <v>1</v>
      </c>
      <c r="J755" t="s">
        <v>873</v>
      </c>
      <c r="K755">
        <v>156115</v>
      </c>
      <c r="L755" s="9">
        <v>46091</v>
      </c>
      <c r="M755" s="9">
        <v>46092</v>
      </c>
      <c r="N755" s="18">
        <f t="shared" ca="1" si="34"/>
        <v>1</v>
      </c>
      <c r="O755" s="9">
        <v>46093</v>
      </c>
      <c r="P755" s="9" t="str">
        <f t="shared" si="35"/>
        <v>✅ Ja</v>
      </c>
      <c r="Q755" t="s">
        <v>841</v>
      </c>
      <c r="S755" t="s">
        <v>838</v>
      </c>
      <c r="T755" t="s">
        <v>540</v>
      </c>
      <c r="U755" t="s">
        <v>662</v>
      </c>
    </row>
    <row r="756" spans="2:21" x14ac:dyDescent="0.25">
      <c r="B756" t="s">
        <v>324</v>
      </c>
      <c r="C756" t="s">
        <v>514</v>
      </c>
      <c r="D756" t="str">
        <f>IF(_xlfn.XLOOKUP(C756, ABZ!A:A, ABZ!B:B, "", 0) = 0, "", _xlfn.XLOOKUP(C756, ABZ!A:A, ABZ!B:B, "", 0))</f>
        <v>ENT-UIC-Android</v>
      </c>
      <c r="E756" t="s">
        <v>834</v>
      </c>
      <c r="F756" t="s">
        <v>527</v>
      </c>
      <c r="I756">
        <f t="shared" si="33"/>
        <v>1</v>
      </c>
      <c r="J756" t="s">
        <v>873</v>
      </c>
      <c r="K756">
        <v>156115</v>
      </c>
      <c r="L756" s="9">
        <v>46091</v>
      </c>
      <c r="M756" s="9">
        <v>46092</v>
      </c>
      <c r="N756" s="18">
        <f t="shared" ca="1" si="34"/>
        <v>1</v>
      </c>
      <c r="O756" s="9">
        <v>46093</v>
      </c>
      <c r="P756" s="9" t="str">
        <f t="shared" si="35"/>
        <v>✅ Ja</v>
      </c>
      <c r="Q756" t="s">
        <v>836</v>
      </c>
      <c r="S756" t="s">
        <v>838</v>
      </c>
      <c r="T756" t="s">
        <v>540</v>
      </c>
      <c r="U756" t="s">
        <v>662</v>
      </c>
    </row>
    <row r="757" spans="2:21" x14ac:dyDescent="0.25">
      <c r="B757" t="s">
        <v>324</v>
      </c>
      <c r="C757" t="s">
        <v>514</v>
      </c>
      <c r="D757" t="str">
        <f>IF(_xlfn.XLOOKUP(C757, ABZ!A:A, ABZ!B:B, "", 0) = 0, "", _xlfn.XLOOKUP(C757, ABZ!A:A, ABZ!B:B, "", 0))</f>
        <v>ENT-UIC-Android</v>
      </c>
      <c r="E757" t="s">
        <v>834</v>
      </c>
      <c r="F757" t="s">
        <v>535</v>
      </c>
      <c r="I757">
        <f t="shared" si="33"/>
        <v>1</v>
      </c>
      <c r="J757" t="s">
        <v>873</v>
      </c>
      <c r="K757">
        <v>156115</v>
      </c>
      <c r="L757" s="9">
        <v>46091</v>
      </c>
      <c r="M757" s="9">
        <v>46092</v>
      </c>
      <c r="N757" s="18">
        <f t="shared" ca="1" si="34"/>
        <v>1</v>
      </c>
      <c r="O757" s="9">
        <v>46093</v>
      </c>
      <c r="P757" s="9" t="str">
        <f t="shared" si="35"/>
        <v>✅ Ja</v>
      </c>
      <c r="Q757" t="s">
        <v>842</v>
      </c>
      <c r="S757" t="s">
        <v>838</v>
      </c>
      <c r="T757" t="s">
        <v>540</v>
      </c>
      <c r="U757" t="s">
        <v>662</v>
      </c>
    </row>
    <row r="758" spans="2:21" x14ac:dyDescent="0.25">
      <c r="B758" t="s">
        <v>324</v>
      </c>
      <c r="C758" t="s">
        <v>514</v>
      </c>
      <c r="D758" t="str">
        <f>IF(_xlfn.XLOOKUP(C758, ABZ!A:A, ABZ!B:B, "", 0) = 0, "", _xlfn.XLOOKUP(C758, ABZ!A:A, ABZ!B:B, "", 0))</f>
        <v>ENT-UIC-Android</v>
      </c>
      <c r="E758" t="s">
        <v>834</v>
      </c>
      <c r="F758" t="s">
        <v>538</v>
      </c>
      <c r="I758">
        <f t="shared" si="33"/>
        <v>1</v>
      </c>
      <c r="J758" t="s">
        <v>873</v>
      </c>
      <c r="K758">
        <v>156115</v>
      </c>
      <c r="L758" s="9">
        <v>46091</v>
      </c>
      <c r="M758" s="9">
        <v>46092</v>
      </c>
      <c r="N758" s="18">
        <f t="shared" ca="1" si="34"/>
        <v>1</v>
      </c>
      <c r="O758" s="9">
        <v>46093</v>
      </c>
      <c r="P758" s="9" t="str">
        <f t="shared" si="35"/>
        <v>✅ Ja</v>
      </c>
      <c r="Q758" t="s">
        <v>842</v>
      </c>
      <c r="S758" t="s">
        <v>838</v>
      </c>
      <c r="T758" t="s">
        <v>540</v>
      </c>
      <c r="U758" t="s">
        <v>662</v>
      </c>
    </row>
    <row r="759" spans="2:21" x14ac:dyDescent="0.25">
      <c r="B759" s="3" t="s">
        <v>347</v>
      </c>
      <c r="C759" t="s">
        <v>460</v>
      </c>
      <c r="D759" t="str">
        <f>IF(_xlfn.XLOOKUP(C759, ABZ!A:A, ABZ!B:B, "", 0) = 0, "", _xlfn.XLOOKUP(C759, ABZ!A:A, ABZ!B:B, "", 0))</f>
        <v>ENT-PM-F-OS</v>
      </c>
      <c r="E759" t="s">
        <v>835</v>
      </c>
      <c r="F759" t="s">
        <v>532</v>
      </c>
      <c r="H759">
        <v>2</v>
      </c>
      <c r="I759">
        <f t="shared" si="33"/>
        <v>1</v>
      </c>
      <c r="J759" t="s">
        <v>875</v>
      </c>
      <c r="L759" s="9">
        <v>46091</v>
      </c>
      <c r="M759" s="9">
        <v>46091</v>
      </c>
      <c r="N759" s="18">
        <f t="shared" ca="1" si="34"/>
        <v>0</v>
      </c>
      <c r="O759" s="9">
        <v>46091</v>
      </c>
      <c r="P759" s="9" t="str">
        <f t="shared" si="35"/>
        <v>✅ Ja</v>
      </c>
      <c r="Q759" t="s">
        <v>838</v>
      </c>
      <c r="S759" t="s">
        <v>838</v>
      </c>
      <c r="T759" t="s">
        <v>540</v>
      </c>
      <c r="U759" t="s">
        <v>645</v>
      </c>
    </row>
    <row r="760" spans="2:21" x14ac:dyDescent="0.25">
      <c r="B760" s="3" t="s">
        <v>348</v>
      </c>
      <c r="C760" t="s">
        <v>460</v>
      </c>
      <c r="D760" t="str">
        <f>IF(_xlfn.XLOOKUP(C760, ABZ!A:A, ABZ!B:B, "", 0) = 0, "", _xlfn.XLOOKUP(C760, ABZ!A:A, ABZ!B:B, "", 0))</f>
        <v>ENT-PM-F-OS</v>
      </c>
      <c r="E760" t="s">
        <v>834</v>
      </c>
      <c r="F760" t="s">
        <v>529</v>
      </c>
      <c r="I760">
        <f t="shared" si="33"/>
        <v>1</v>
      </c>
      <c r="J760" t="s">
        <v>875</v>
      </c>
      <c r="L760" s="9">
        <v>46091</v>
      </c>
      <c r="M760" s="9">
        <v>46091</v>
      </c>
      <c r="N760" s="18">
        <f t="shared" ca="1" si="34"/>
        <v>0</v>
      </c>
      <c r="O760" s="9">
        <v>46091</v>
      </c>
      <c r="P760" s="9" t="str">
        <f t="shared" si="35"/>
        <v>✅ Ja</v>
      </c>
      <c r="Q760" t="s">
        <v>845</v>
      </c>
      <c r="S760" t="s">
        <v>838</v>
      </c>
      <c r="T760" t="s">
        <v>540</v>
      </c>
      <c r="U760" t="s">
        <v>645</v>
      </c>
    </row>
    <row r="761" spans="2:21" x14ac:dyDescent="0.25">
      <c r="B761" s="3" t="s">
        <v>349</v>
      </c>
      <c r="C761" t="s">
        <v>466</v>
      </c>
      <c r="D761" t="str">
        <f>IF(_xlfn.XLOOKUP(C761, ABZ!A:A, ABZ!B:B, "", 0) = 0, "", _xlfn.XLOOKUP(C761, ABZ!A:A, ABZ!B:B, "", 0))</f>
        <v>VTR-CS-SER-PartnerCommunication</v>
      </c>
      <c r="E761" t="s">
        <v>835</v>
      </c>
      <c r="F761" t="s">
        <v>532</v>
      </c>
      <c r="H761">
        <v>2</v>
      </c>
      <c r="I761">
        <f t="shared" si="33"/>
        <v>0</v>
      </c>
      <c r="J761" t="s">
        <v>875</v>
      </c>
      <c r="L761" s="9">
        <v>46091</v>
      </c>
      <c r="M761" s="9">
        <v>46097</v>
      </c>
      <c r="N761" s="18">
        <f t="shared" ca="1" si="34"/>
        <v>6</v>
      </c>
      <c r="O761" s="9">
        <v>46097</v>
      </c>
      <c r="P761" s="9" t="str">
        <f t="shared" si="35"/>
        <v>✅ Ja</v>
      </c>
      <c r="Q761" t="s">
        <v>838</v>
      </c>
      <c r="S761" t="s">
        <v>838</v>
      </c>
      <c r="T761" t="s">
        <v>540</v>
      </c>
      <c r="U761" s="3" t="s">
        <v>670</v>
      </c>
    </row>
    <row r="762" spans="2:21" x14ac:dyDescent="0.25">
      <c r="B762" s="3" t="s">
        <v>350</v>
      </c>
      <c r="C762" t="s">
        <v>485</v>
      </c>
      <c r="D762" t="str">
        <f>IF(_xlfn.XLOOKUP(C762, ABZ!A:A, ABZ!B:B, "", 0) = 0, "", _xlfn.XLOOKUP(C762, ABZ!A:A, ABZ!B:B, "", 0))</f>
        <v>VTR-CS-SER-PartnerCommunication</v>
      </c>
      <c r="E762" t="s">
        <v>835</v>
      </c>
      <c r="F762" t="s">
        <v>532</v>
      </c>
      <c r="H762">
        <v>2</v>
      </c>
      <c r="I762">
        <f t="shared" si="33"/>
        <v>0</v>
      </c>
      <c r="J762" t="s">
        <v>875</v>
      </c>
      <c r="L762" s="9">
        <v>46091</v>
      </c>
      <c r="M762" s="9">
        <v>46097</v>
      </c>
      <c r="N762" s="18">
        <f t="shared" ca="1" si="34"/>
        <v>6</v>
      </c>
      <c r="O762" s="9">
        <v>46096</v>
      </c>
      <c r="P762" s="9" t="str">
        <f t="shared" si="35"/>
        <v>❌ Nein</v>
      </c>
      <c r="Q762" t="s">
        <v>838</v>
      </c>
      <c r="S762" t="s">
        <v>838</v>
      </c>
      <c r="T762" t="s">
        <v>540</v>
      </c>
      <c r="U762" s="3" t="s">
        <v>350</v>
      </c>
    </row>
    <row r="763" spans="2:21" x14ac:dyDescent="0.25">
      <c r="B763" t="s">
        <v>351</v>
      </c>
      <c r="C763" t="s">
        <v>466</v>
      </c>
      <c r="D763" t="str">
        <f>IF(_xlfn.XLOOKUP(C763, ABZ!A:A, ABZ!B:B, "", 0) = 0, "", _xlfn.XLOOKUP(C763, ABZ!A:A, ABZ!B:B, "", 0))</f>
        <v>VTR-CS-SER-PartnerCommunication</v>
      </c>
      <c r="E763" t="s">
        <v>834</v>
      </c>
      <c r="F763" t="s">
        <v>527</v>
      </c>
      <c r="I763">
        <f t="shared" si="33"/>
        <v>0</v>
      </c>
      <c r="J763" t="s">
        <v>875</v>
      </c>
      <c r="L763" s="9">
        <v>46092</v>
      </c>
      <c r="M763" s="9">
        <v>46098</v>
      </c>
      <c r="N763" s="18">
        <f t="shared" ca="1" si="34"/>
        <v>6</v>
      </c>
      <c r="O763" s="9">
        <v>46100</v>
      </c>
      <c r="P763" s="9" t="str">
        <f t="shared" si="35"/>
        <v>✅ Ja</v>
      </c>
      <c r="Q763" t="s">
        <v>836</v>
      </c>
      <c r="S763" t="s">
        <v>839</v>
      </c>
      <c r="T763" t="s">
        <v>540</v>
      </c>
      <c r="U763" t="s">
        <v>641</v>
      </c>
    </row>
    <row r="764" spans="2:21" x14ac:dyDescent="0.25">
      <c r="B764" t="s">
        <v>352</v>
      </c>
      <c r="C764" t="s">
        <v>466</v>
      </c>
      <c r="D764" t="str">
        <f>IF(_xlfn.XLOOKUP(C764, ABZ!A:A, ABZ!B:B, "", 0) = 0, "", _xlfn.XLOOKUP(C764, ABZ!A:A, ABZ!B:B, "", 0))</f>
        <v>VTR-CS-SER-PartnerCommunication</v>
      </c>
      <c r="E764" t="s">
        <v>834</v>
      </c>
      <c r="F764" t="s">
        <v>527</v>
      </c>
      <c r="I764">
        <f t="shared" si="33"/>
        <v>0</v>
      </c>
      <c r="J764" t="s">
        <v>875</v>
      </c>
      <c r="L764" s="9">
        <v>46092</v>
      </c>
      <c r="M764" s="9">
        <v>46098</v>
      </c>
      <c r="N764" s="18">
        <f t="shared" ca="1" si="34"/>
        <v>6</v>
      </c>
      <c r="O764" s="9">
        <v>46100</v>
      </c>
      <c r="P764" s="9" t="str">
        <f t="shared" si="35"/>
        <v>✅ Ja</v>
      </c>
      <c r="Q764" t="s">
        <v>836</v>
      </c>
      <c r="S764" t="s">
        <v>839</v>
      </c>
      <c r="T764" t="s">
        <v>540</v>
      </c>
      <c r="U764" t="s">
        <v>641</v>
      </c>
    </row>
    <row r="765" spans="2:21" x14ac:dyDescent="0.25">
      <c r="B765" s="3" t="s">
        <v>353</v>
      </c>
      <c r="C765" t="s">
        <v>513</v>
      </c>
      <c r="D765" t="str">
        <f>IF(_xlfn.XLOOKUP(C765, ABZ!A:A, ABZ!B:B, "", 0) = 0, "", _xlfn.XLOOKUP(C765, ABZ!A:A, ABZ!B:B, "", 0))</f>
        <v>D2C-MarketingContent</v>
      </c>
      <c r="E765" t="s">
        <v>834</v>
      </c>
      <c r="F765" t="s">
        <v>529</v>
      </c>
      <c r="I765">
        <f t="shared" si="33"/>
        <v>0</v>
      </c>
      <c r="J765" t="s">
        <v>875</v>
      </c>
      <c r="L765" s="9">
        <v>46092</v>
      </c>
      <c r="M765" s="9">
        <v>46098</v>
      </c>
      <c r="N765" s="18">
        <f t="shared" ca="1" si="34"/>
        <v>6</v>
      </c>
      <c r="O765" s="9">
        <v>46098</v>
      </c>
      <c r="P765" s="9" t="str">
        <f t="shared" si="35"/>
        <v>✅ Ja</v>
      </c>
      <c r="Q765" t="s">
        <v>837</v>
      </c>
      <c r="S765" t="s">
        <v>841</v>
      </c>
      <c r="T765" t="s">
        <v>540</v>
      </c>
      <c r="U765" t="s">
        <v>671</v>
      </c>
    </row>
    <row r="766" spans="2:21" x14ac:dyDescent="0.25">
      <c r="B766" s="3" t="s">
        <v>353</v>
      </c>
      <c r="C766" t="s">
        <v>513</v>
      </c>
      <c r="D766" t="str">
        <f>IF(_xlfn.XLOOKUP(C766, ABZ!A:A, ABZ!B:B, "", 0) = 0, "", _xlfn.XLOOKUP(C766, ABZ!A:A, ABZ!B:B, "", 0))</f>
        <v>D2C-MarketingContent</v>
      </c>
      <c r="E766" t="s">
        <v>834</v>
      </c>
      <c r="F766" t="s">
        <v>528</v>
      </c>
      <c r="I766">
        <f t="shared" si="33"/>
        <v>0</v>
      </c>
      <c r="J766" t="s">
        <v>875</v>
      </c>
      <c r="L766" s="9">
        <v>46092</v>
      </c>
      <c r="M766" s="9">
        <v>46098</v>
      </c>
      <c r="N766" s="18">
        <f t="shared" ca="1" si="34"/>
        <v>6</v>
      </c>
      <c r="O766" s="9">
        <v>46098</v>
      </c>
      <c r="P766" s="9" t="str">
        <f t="shared" si="35"/>
        <v>✅ Ja</v>
      </c>
      <c r="Q766" t="s">
        <v>847</v>
      </c>
      <c r="R766" t="s">
        <v>841</v>
      </c>
      <c r="S766" t="s">
        <v>841</v>
      </c>
      <c r="T766" t="s">
        <v>540</v>
      </c>
      <c r="U766" t="s">
        <v>671</v>
      </c>
    </row>
    <row r="767" spans="2:21" x14ac:dyDescent="0.25">
      <c r="B767" s="3" t="s">
        <v>353</v>
      </c>
      <c r="C767" t="s">
        <v>513</v>
      </c>
      <c r="D767" t="str">
        <f>IF(_xlfn.XLOOKUP(C767, ABZ!A:A, ABZ!B:B, "", 0) = 0, "", _xlfn.XLOOKUP(C767, ABZ!A:A, ABZ!B:B, "", 0))</f>
        <v>D2C-MarketingContent</v>
      </c>
      <c r="E767" t="s">
        <v>834</v>
      </c>
      <c r="F767" t="s">
        <v>527</v>
      </c>
      <c r="I767">
        <f t="shared" si="33"/>
        <v>0</v>
      </c>
      <c r="J767" t="s">
        <v>875</v>
      </c>
      <c r="L767" s="9">
        <v>46092</v>
      </c>
      <c r="M767" s="9">
        <v>46098</v>
      </c>
      <c r="N767" s="18">
        <f t="shared" ca="1" si="34"/>
        <v>6</v>
      </c>
      <c r="O767" s="9">
        <v>46098</v>
      </c>
      <c r="P767" s="9" t="str">
        <f t="shared" si="35"/>
        <v>✅ Ja</v>
      </c>
      <c r="Q767" t="s">
        <v>836</v>
      </c>
      <c r="S767" t="s">
        <v>841</v>
      </c>
      <c r="T767" t="s">
        <v>540</v>
      </c>
      <c r="U767" t="s">
        <v>671</v>
      </c>
    </row>
    <row r="768" spans="2:21" x14ac:dyDescent="0.25">
      <c r="B768" s="3" t="s">
        <v>353</v>
      </c>
      <c r="C768" t="s">
        <v>513</v>
      </c>
      <c r="D768" t="str">
        <f>IF(_xlfn.XLOOKUP(C768, ABZ!A:A, ABZ!B:B, "", 0) = 0, "", _xlfn.XLOOKUP(C768, ABZ!A:A, ABZ!B:B, "", 0))</f>
        <v>D2C-MarketingContent</v>
      </c>
      <c r="E768" t="s">
        <v>834</v>
      </c>
      <c r="F768" t="s">
        <v>530</v>
      </c>
      <c r="I768">
        <f t="shared" si="33"/>
        <v>0</v>
      </c>
      <c r="J768" t="s">
        <v>875</v>
      </c>
      <c r="L768" s="9">
        <v>46092</v>
      </c>
      <c r="M768" s="9">
        <v>46098</v>
      </c>
      <c r="N768" s="18">
        <f t="shared" ca="1" si="34"/>
        <v>6</v>
      </c>
      <c r="O768" s="9">
        <v>46098</v>
      </c>
      <c r="P768" s="9" t="str">
        <f t="shared" si="35"/>
        <v>✅ Ja</v>
      </c>
      <c r="Q768" t="s">
        <v>839</v>
      </c>
      <c r="S768" t="s">
        <v>841</v>
      </c>
      <c r="T768" t="s">
        <v>540</v>
      </c>
      <c r="U768" t="s">
        <v>671</v>
      </c>
    </row>
    <row r="769" spans="2:21" x14ac:dyDescent="0.25">
      <c r="B769" s="3" t="s">
        <v>354</v>
      </c>
      <c r="C769" t="s">
        <v>513</v>
      </c>
      <c r="D769" t="str">
        <f>IF(_xlfn.XLOOKUP(C769, ABZ!A:A, ABZ!B:B, "", 0) = 0, "", _xlfn.XLOOKUP(C769, ABZ!A:A, ABZ!B:B, "", 0))</f>
        <v>D2C-MarketingContent</v>
      </c>
      <c r="E769" t="s">
        <v>834</v>
      </c>
      <c r="F769" t="s">
        <v>529</v>
      </c>
      <c r="I769">
        <f t="shared" si="33"/>
        <v>0</v>
      </c>
      <c r="J769" t="s">
        <v>875</v>
      </c>
      <c r="L769" s="9">
        <v>46092</v>
      </c>
      <c r="M769" s="9">
        <v>46097</v>
      </c>
      <c r="N769" s="18">
        <f t="shared" ca="1" si="34"/>
        <v>5</v>
      </c>
      <c r="O769" s="9">
        <v>46098</v>
      </c>
      <c r="P769" s="9" t="str">
        <f t="shared" si="35"/>
        <v>✅ Ja</v>
      </c>
      <c r="Q769" t="s">
        <v>837</v>
      </c>
      <c r="S769" t="s">
        <v>841</v>
      </c>
      <c r="T769" t="s">
        <v>540</v>
      </c>
      <c r="U769" t="s">
        <v>671</v>
      </c>
    </row>
    <row r="770" spans="2:21" x14ac:dyDescent="0.25">
      <c r="B770" s="3" t="s">
        <v>354</v>
      </c>
      <c r="C770" t="s">
        <v>513</v>
      </c>
      <c r="D770" t="str">
        <f>IF(_xlfn.XLOOKUP(C770, ABZ!A:A, ABZ!B:B, "", 0) = 0, "", _xlfn.XLOOKUP(C770, ABZ!A:A, ABZ!B:B, "", 0))</f>
        <v>D2C-MarketingContent</v>
      </c>
      <c r="E770" t="s">
        <v>834</v>
      </c>
      <c r="F770" t="s">
        <v>528</v>
      </c>
      <c r="I770">
        <f t="shared" si="33"/>
        <v>0</v>
      </c>
      <c r="J770" t="s">
        <v>875</v>
      </c>
      <c r="L770" s="9">
        <v>46092</v>
      </c>
      <c r="M770" s="9">
        <v>46097</v>
      </c>
      <c r="N770" s="18">
        <f t="shared" ca="1" si="34"/>
        <v>5</v>
      </c>
      <c r="O770" s="9">
        <v>46098</v>
      </c>
      <c r="P770" s="9" t="str">
        <f t="shared" si="35"/>
        <v>✅ Ja</v>
      </c>
      <c r="Q770" t="s">
        <v>847</v>
      </c>
      <c r="R770" t="s">
        <v>841</v>
      </c>
      <c r="S770" t="s">
        <v>841</v>
      </c>
      <c r="T770" t="s">
        <v>540</v>
      </c>
      <c r="U770" t="s">
        <v>671</v>
      </c>
    </row>
    <row r="771" spans="2:21" x14ac:dyDescent="0.25">
      <c r="B771" s="3" t="s">
        <v>354</v>
      </c>
      <c r="C771" t="s">
        <v>513</v>
      </c>
      <c r="D771" t="str">
        <f>IF(_xlfn.XLOOKUP(C771, ABZ!A:A, ABZ!B:B, "", 0) = 0, "", _xlfn.XLOOKUP(C771, ABZ!A:A, ABZ!B:B, "", 0))</f>
        <v>D2C-MarketingContent</v>
      </c>
      <c r="E771" t="s">
        <v>834</v>
      </c>
      <c r="F771" t="s">
        <v>527</v>
      </c>
      <c r="I771">
        <f t="shared" ref="I771:I834" si="36">IF(AND(O771&lt;&gt;"",L771&lt;&gt;""),IF((O771-L771)&lt;=2,1,0),0)</f>
        <v>0</v>
      </c>
      <c r="J771" t="s">
        <v>875</v>
      </c>
      <c r="L771" s="9">
        <v>46092</v>
      </c>
      <c r="M771" s="9">
        <v>46097</v>
      </c>
      <c r="N771" s="18">
        <f t="shared" ref="N771:N834" ca="1" si="37">IF(M771&lt;&gt;"",M771-L771,TODAY()-L771)</f>
        <v>5</v>
      </c>
      <c r="O771" s="9">
        <v>46098</v>
      </c>
      <c r="P771" s="9" t="str">
        <f t="shared" ref="P771:P834" si="38">IF(M771="","⏳ Offen",IF(M771&lt;=O771,"✅ Ja","❌ Nein"))</f>
        <v>✅ Ja</v>
      </c>
      <c r="Q771" t="s">
        <v>836</v>
      </c>
      <c r="S771" t="s">
        <v>841</v>
      </c>
      <c r="T771" t="s">
        <v>540</v>
      </c>
      <c r="U771" t="s">
        <v>671</v>
      </c>
    </row>
    <row r="772" spans="2:21" x14ac:dyDescent="0.25">
      <c r="B772" s="3" t="s">
        <v>354</v>
      </c>
      <c r="C772" t="s">
        <v>513</v>
      </c>
      <c r="D772" t="str">
        <f>IF(_xlfn.XLOOKUP(C772, ABZ!A:A, ABZ!B:B, "", 0) = 0, "", _xlfn.XLOOKUP(C772, ABZ!A:A, ABZ!B:B, "", 0))</f>
        <v>D2C-MarketingContent</v>
      </c>
      <c r="E772" t="s">
        <v>834</v>
      </c>
      <c r="F772" t="s">
        <v>530</v>
      </c>
      <c r="I772">
        <f t="shared" si="36"/>
        <v>0</v>
      </c>
      <c r="J772" t="s">
        <v>875</v>
      </c>
      <c r="L772" s="9">
        <v>46092</v>
      </c>
      <c r="M772" s="9">
        <v>46097</v>
      </c>
      <c r="N772" s="18">
        <f t="shared" ca="1" si="37"/>
        <v>5</v>
      </c>
      <c r="O772" s="9">
        <v>46098</v>
      </c>
      <c r="P772" s="9" t="str">
        <f t="shared" si="38"/>
        <v>✅ Ja</v>
      </c>
      <c r="Q772" t="s">
        <v>839</v>
      </c>
      <c r="S772" t="s">
        <v>841</v>
      </c>
      <c r="T772" t="s">
        <v>540</v>
      </c>
      <c r="U772" t="s">
        <v>671</v>
      </c>
    </row>
    <row r="773" spans="2:21" x14ac:dyDescent="0.25">
      <c r="B773" t="s">
        <v>355</v>
      </c>
      <c r="C773" t="s">
        <v>466</v>
      </c>
      <c r="D773" t="str">
        <f>IF(_xlfn.XLOOKUP(C773, ABZ!A:A, ABZ!B:B, "", 0) = 0, "", _xlfn.XLOOKUP(C773, ABZ!A:A, ABZ!B:B, "", 0))</f>
        <v>VTR-CS-SER-PartnerCommunication</v>
      </c>
      <c r="E773" t="s">
        <v>834</v>
      </c>
      <c r="F773" t="s">
        <v>528</v>
      </c>
      <c r="I773">
        <f t="shared" si="36"/>
        <v>0</v>
      </c>
      <c r="J773" t="s">
        <v>875</v>
      </c>
      <c r="L773" s="9">
        <v>46092</v>
      </c>
      <c r="M773" s="9">
        <v>46104</v>
      </c>
      <c r="N773" s="18">
        <f t="shared" ca="1" si="37"/>
        <v>12</v>
      </c>
      <c r="O773" s="9">
        <v>46104</v>
      </c>
      <c r="P773" s="9" t="str">
        <f t="shared" si="38"/>
        <v>✅ Ja</v>
      </c>
      <c r="Q773" t="s">
        <v>847</v>
      </c>
      <c r="R773" t="s">
        <v>841</v>
      </c>
      <c r="S773" t="s">
        <v>839</v>
      </c>
      <c r="T773" t="s">
        <v>540</v>
      </c>
      <c r="U773" t="s">
        <v>668</v>
      </c>
    </row>
    <row r="774" spans="2:21" x14ac:dyDescent="0.25">
      <c r="B774" t="s">
        <v>356</v>
      </c>
      <c r="C774" t="s">
        <v>466</v>
      </c>
      <c r="D774" t="str">
        <f>IF(_xlfn.XLOOKUP(C774, ABZ!A:A, ABZ!B:B, "", 0) = 0, "", _xlfn.XLOOKUP(C774, ABZ!A:A, ABZ!B:B, "", 0))</f>
        <v>VTR-CS-SER-PartnerCommunication</v>
      </c>
      <c r="E774" t="s">
        <v>834</v>
      </c>
      <c r="F774" t="s">
        <v>530</v>
      </c>
      <c r="I774">
        <f t="shared" si="36"/>
        <v>0</v>
      </c>
      <c r="J774" t="s">
        <v>875</v>
      </c>
      <c r="L774" s="9">
        <v>46092</v>
      </c>
      <c r="M774" s="9">
        <v>46104</v>
      </c>
      <c r="N774" s="18">
        <f t="shared" ca="1" si="37"/>
        <v>12</v>
      </c>
      <c r="O774" s="9">
        <v>46104</v>
      </c>
      <c r="P774" s="9" t="str">
        <f t="shared" si="38"/>
        <v>✅ Ja</v>
      </c>
      <c r="Q774" t="s">
        <v>844</v>
      </c>
      <c r="R774" t="s">
        <v>839</v>
      </c>
      <c r="S774" t="s">
        <v>839</v>
      </c>
      <c r="T774" t="s">
        <v>540</v>
      </c>
      <c r="U774" t="s">
        <v>641</v>
      </c>
    </row>
    <row r="775" spans="2:21" x14ac:dyDescent="0.25">
      <c r="B775" t="s">
        <v>357</v>
      </c>
      <c r="C775" t="s">
        <v>466</v>
      </c>
      <c r="D775" t="str">
        <f>IF(_xlfn.XLOOKUP(C775, ABZ!A:A, ABZ!B:B, "", 0) = 0, "", _xlfn.XLOOKUP(C775, ABZ!A:A, ABZ!B:B, "", 0))</f>
        <v>VTR-CS-SER-PartnerCommunication</v>
      </c>
      <c r="E775" t="s">
        <v>834</v>
      </c>
      <c r="F775" t="s">
        <v>527</v>
      </c>
      <c r="I775">
        <f t="shared" si="36"/>
        <v>0</v>
      </c>
      <c r="J775" t="s">
        <v>875</v>
      </c>
      <c r="L775" s="9">
        <v>46092</v>
      </c>
      <c r="M775" s="9">
        <v>46104</v>
      </c>
      <c r="N775" s="18">
        <f t="shared" ca="1" si="37"/>
        <v>12</v>
      </c>
      <c r="O775" s="9">
        <v>46104</v>
      </c>
      <c r="P775" s="9" t="str">
        <f t="shared" si="38"/>
        <v>✅ Ja</v>
      </c>
      <c r="Q775" t="s">
        <v>836</v>
      </c>
      <c r="S775" t="s">
        <v>839</v>
      </c>
      <c r="T775" t="s">
        <v>540</v>
      </c>
      <c r="U775" t="s">
        <v>641</v>
      </c>
    </row>
    <row r="776" spans="2:21" x14ac:dyDescent="0.25">
      <c r="B776" s="5" t="s">
        <v>358</v>
      </c>
      <c r="C776" t="s">
        <v>489</v>
      </c>
      <c r="D776" t="str">
        <f>IF(_xlfn.XLOOKUP(C776, ABZ!A:A, ABZ!B:B, "", 0) = 0, "", _xlfn.XLOOKUP(C776, ABZ!A:A, ABZ!B:B, "", 0))</f>
        <v>KOM-PR</v>
      </c>
      <c r="E776" t="s">
        <v>835</v>
      </c>
      <c r="F776" t="s">
        <v>532</v>
      </c>
      <c r="H776">
        <v>2</v>
      </c>
      <c r="I776">
        <f t="shared" si="36"/>
        <v>1</v>
      </c>
      <c r="J776" t="s">
        <v>875</v>
      </c>
      <c r="L776" s="9">
        <v>46092</v>
      </c>
      <c r="M776" s="9">
        <v>46093</v>
      </c>
      <c r="N776" s="18">
        <f t="shared" ca="1" si="37"/>
        <v>1</v>
      </c>
      <c r="O776" s="9">
        <v>46093</v>
      </c>
      <c r="P776" s="9" t="str">
        <f t="shared" si="38"/>
        <v>✅ Ja</v>
      </c>
      <c r="Q776" t="s">
        <v>838</v>
      </c>
      <c r="S776" t="s">
        <v>838</v>
      </c>
      <c r="T776" t="s">
        <v>540</v>
      </c>
      <c r="U776" t="s">
        <v>672</v>
      </c>
    </row>
    <row r="777" spans="2:21" x14ac:dyDescent="0.25">
      <c r="B777" t="s">
        <v>359</v>
      </c>
      <c r="C777" t="s">
        <v>489</v>
      </c>
      <c r="D777" t="str">
        <f>IF(_xlfn.XLOOKUP(C777, ABZ!A:A, ABZ!B:B, "", 0) = 0, "", _xlfn.XLOOKUP(C777, ABZ!A:A, ABZ!B:B, "", 0))</f>
        <v>KOM-PR</v>
      </c>
      <c r="E777" t="s">
        <v>835</v>
      </c>
      <c r="F777" t="s">
        <v>532</v>
      </c>
      <c r="H777">
        <v>2</v>
      </c>
      <c r="I777">
        <f t="shared" si="36"/>
        <v>1</v>
      </c>
      <c r="J777" t="s">
        <v>875</v>
      </c>
      <c r="L777" s="9">
        <v>46092</v>
      </c>
      <c r="M777" s="9">
        <v>46093</v>
      </c>
      <c r="N777" s="18">
        <f t="shared" ca="1" si="37"/>
        <v>1</v>
      </c>
      <c r="O777" s="9">
        <v>46093</v>
      </c>
      <c r="P777" s="9" t="str">
        <f t="shared" si="38"/>
        <v>✅ Ja</v>
      </c>
      <c r="Q777" t="s">
        <v>838</v>
      </c>
      <c r="S777" t="s">
        <v>838</v>
      </c>
      <c r="T777" t="s">
        <v>540</v>
      </c>
      <c r="U777" t="s">
        <v>673</v>
      </c>
    </row>
    <row r="778" spans="2:21" x14ac:dyDescent="0.25">
      <c r="B778" t="s">
        <v>360</v>
      </c>
      <c r="C778" t="s">
        <v>489</v>
      </c>
      <c r="D778" t="str">
        <f>IF(_xlfn.XLOOKUP(C778, ABZ!A:A, ABZ!B:B, "", 0) = 0, "", _xlfn.XLOOKUP(C778, ABZ!A:A, ABZ!B:B, "", 0))</f>
        <v>KOM-PR</v>
      </c>
      <c r="E778" t="s">
        <v>835</v>
      </c>
      <c r="F778" t="s">
        <v>532</v>
      </c>
      <c r="H778">
        <v>2</v>
      </c>
      <c r="I778">
        <f t="shared" si="36"/>
        <v>1</v>
      </c>
      <c r="J778" t="s">
        <v>875</v>
      </c>
      <c r="L778" s="9">
        <v>46092</v>
      </c>
      <c r="M778" s="9">
        <v>46093</v>
      </c>
      <c r="N778" s="18">
        <f t="shared" ca="1" si="37"/>
        <v>1</v>
      </c>
      <c r="O778" s="9">
        <v>46093</v>
      </c>
      <c r="P778" s="9" t="str">
        <f t="shared" si="38"/>
        <v>✅ Ja</v>
      </c>
      <c r="Q778" t="s">
        <v>838</v>
      </c>
      <c r="S778" t="s">
        <v>838</v>
      </c>
      <c r="T778" t="s">
        <v>540</v>
      </c>
      <c r="U778" t="s">
        <v>674</v>
      </c>
    </row>
    <row r="779" spans="2:21" x14ac:dyDescent="0.25">
      <c r="B779" s="3" t="s">
        <v>358</v>
      </c>
      <c r="C779" t="s">
        <v>489</v>
      </c>
      <c r="D779" t="str">
        <f>IF(_xlfn.XLOOKUP(C779, ABZ!A:A, ABZ!B:B, "", 0) = 0, "", _xlfn.XLOOKUP(C779, ABZ!A:A, ABZ!B:B, "", 0))</f>
        <v>KOM-PR</v>
      </c>
      <c r="E779" t="s">
        <v>834</v>
      </c>
      <c r="F779" t="s">
        <v>529</v>
      </c>
      <c r="I779">
        <f t="shared" si="36"/>
        <v>0</v>
      </c>
      <c r="L779" s="9">
        <v>46092</v>
      </c>
      <c r="M779" s="9">
        <v>46099</v>
      </c>
      <c r="N779" s="18">
        <f t="shared" ca="1" si="37"/>
        <v>7</v>
      </c>
      <c r="O779" s="9">
        <v>46101</v>
      </c>
      <c r="P779" s="9" t="str">
        <f t="shared" si="38"/>
        <v>✅ Ja</v>
      </c>
      <c r="Q779" t="s">
        <v>846</v>
      </c>
      <c r="S779" t="s">
        <v>838</v>
      </c>
      <c r="T779" t="s">
        <v>540</v>
      </c>
      <c r="U779" t="s">
        <v>672</v>
      </c>
    </row>
    <row r="780" spans="2:21" x14ac:dyDescent="0.25">
      <c r="B780" s="3" t="s">
        <v>359</v>
      </c>
      <c r="C780" t="s">
        <v>489</v>
      </c>
      <c r="D780" t="str">
        <f>IF(_xlfn.XLOOKUP(C780, ABZ!A:A, ABZ!B:B, "", 0) = 0, "", _xlfn.XLOOKUP(C780, ABZ!A:A, ABZ!B:B, "", 0))</f>
        <v>KOM-PR</v>
      </c>
      <c r="E780" t="s">
        <v>834</v>
      </c>
      <c r="F780" t="s">
        <v>529</v>
      </c>
      <c r="I780">
        <f t="shared" si="36"/>
        <v>0</v>
      </c>
      <c r="L780" s="9">
        <v>46092</v>
      </c>
      <c r="M780" s="9">
        <v>46099</v>
      </c>
      <c r="N780" s="18">
        <f t="shared" ca="1" si="37"/>
        <v>7</v>
      </c>
      <c r="O780" s="9">
        <v>46101</v>
      </c>
      <c r="P780" s="9" t="str">
        <f t="shared" si="38"/>
        <v>✅ Ja</v>
      </c>
      <c r="Q780" t="s">
        <v>845</v>
      </c>
      <c r="S780" t="s">
        <v>838</v>
      </c>
      <c r="T780" t="s">
        <v>540</v>
      </c>
      <c r="U780" t="s">
        <v>673</v>
      </c>
    </row>
    <row r="781" spans="2:21" x14ac:dyDescent="0.25">
      <c r="B781" s="3" t="s">
        <v>360</v>
      </c>
      <c r="C781" t="s">
        <v>489</v>
      </c>
      <c r="D781" t="str">
        <f>IF(_xlfn.XLOOKUP(C781, ABZ!A:A, ABZ!B:B, "", 0) = 0, "", _xlfn.XLOOKUP(C781, ABZ!A:A, ABZ!B:B, "", 0))</f>
        <v>KOM-PR</v>
      </c>
      <c r="E781" t="s">
        <v>834</v>
      </c>
      <c r="F781" t="s">
        <v>529</v>
      </c>
      <c r="I781">
        <f t="shared" si="36"/>
        <v>0</v>
      </c>
      <c r="L781" s="9">
        <v>46092</v>
      </c>
      <c r="M781" s="9">
        <v>46099</v>
      </c>
      <c r="N781" s="18">
        <f t="shared" ca="1" si="37"/>
        <v>7</v>
      </c>
      <c r="O781" s="9">
        <v>46101</v>
      </c>
      <c r="P781" s="9" t="str">
        <f t="shared" si="38"/>
        <v>✅ Ja</v>
      </c>
      <c r="Q781" t="s">
        <v>846</v>
      </c>
      <c r="S781" t="s">
        <v>838</v>
      </c>
      <c r="T781" t="s">
        <v>540</v>
      </c>
      <c r="U781" t="s">
        <v>674</v>
      </c>
    </row>
    <row r="782" spans="2:21" x14ac:dyDescent="0.25">
      <c r="B782" t="s">
        <v>361</v>
      </c>
      <c r="C782" t="s">
        <v>482</v>
      </c>
      <c r="D782" t="str">
        <f>IF(_xlfn.XLOOKUP(C782, ABZ!A:A, ABZ!B:B, "", 0) = 0, "", _xlfn.XLOOKUP(C782, ABZ!A:A, ABZ!B:B, "", 0))</f>
        <v>KOM-Marketing</v>
      </c>
      <c r="E782" t="s">
        <v>834</v>
      </c>
      <c r="F782" t="s">
        <v>528</v>
      </c>
      <c r="I782">
        <f t="shared" si="36"/>
        <v>0</v>
      </c>
      <c r="L782" s="9">
        <v>46093</v>
      </c>
      <c r="M782" s="9">
        <v>46094</v>
      </c>
      <c r="N782" s="18">
        <f t="shared" ca="1" si="37"/>
        <v>1</v>
      </c>
      <c r="O782" s="9">
        <v>46097</v>
      </c>
      <c r="P782" s="9" t="str">
        <f t="shared" si="38"/>
        <v>✅ Ja</v>
      </c>
      <c r="Q782" t="s">
        <v>841</v>
      </c>
      <c r="S782" t="s">
        <v>839</v>
      </c>
      <c r="T782" t="s">
        <v>540</v>
      </c>
      <c r="U782" t="s">
        <v>641</v>
      </c>
    </row>
    <row r="783" spans="2:21" x14ac:dyDescent="0.25">
      <c r="B783" s="6" t="s">
        <v>361</v>
      </c>
      <c r="C783" t="s">
        <v>482</v>
      </c>
      <c r="D783" t="str">
        <f>IF(_xlfn.XLOOKUP(C783, ABZ!A:A, ABZ!B:B, "", 0) = 0, "", _xlfn.XLOOKUP(C783, ABZ!A:A, ABZ!B:B, "", 0))</f>
        <v>KOM-Marketing</v>
      </c>
      <c r="E783" t="s">
        <v>834</v>
      </c>
      <c r="F783" t="s">
        <v>527</v>
      </c>
      <c r="I783">
        <f t="shared" si="36"/>
        <v>0</v>
      </c>
      <c r="L783" s="9">
        <v>46093</v>
      </c>
      <c r="M783" s="9">
        <v>46094</v>
      </c>
      <c r="N783" s="18">
        <f t="shared" ca="1" si="37"/>
        <v>1</v>
      </c>
      <c r="O783" s="9">
        <v>46097</v>
      </c>
      <c r="P783" s="9" t="str">
        <f t="shared" si="38"/>
        <v>✅ Ja</v>
      </c>
      <c r="Q783" t="s">
        <v>836</v>
      </c>
      <c r="S783" t="s">
        <v>839</v>
      </c>
      <c r="T783" t="s">
        <v>540</v>
      </c>
      <c r="U783" t="s">
        <v>641</v>
      </c>
    </row>
    <row r="784" spans="2:21" x14ac:dyDescent="0.25">
      <c r="B784" t="s">
        <v>361</v>
      </c>
      <c r="C784" t="s">
        <v>482</v>
      </c>
      <c r="D784" t="str">
        <f>IF(_xlfn.XLOOKUP(C784, ABZ!A:A, ABZ!B:B, "", 0) = 0, "", _xlfn.XLOOKUP(C784, ABZ!A:A, ABZ!B:B, "", 0))</f>
        <v>KOM-Marketing</v>
      </c>
      <c r="E784" t="s">
        <v>834</v>
      </c>
      <c r="F784" t="s">
        <v>530</v>
      </c>
      <c r="I784">
        <f t="shared" si="36"/>
        <v>0</v>
      </c>
      <c r="L784" s="9">
        <v>46093</v>
      </c>
      <c r="M784" s="9">
        <v>46094</v>
      </c>
      <c r="N784" s="18">
        <f t="shared" ca="1" si="37"/>
        <v>1</v>
      </c>
      <c r="O784" s="9">
        <v>46097</v>
      </c>
      <c r="P784" s="9" t="str">
        <f t="shared" si="38"/>
        <v>✅ Ja</v>
      </c>
      <c r="Q784" t="s">
        <v>839</v>
      </c>
      <c r="S784" t="s">
        <v>839</v>
      </c>
      <c r="T784" t="s">
        <v>540</v>
      </c>
      <c r="U784" t="s">
        <v>641</v>
      </c>
    </row>
    <row r="785" spans="2:21" x14ac:dyDescent="0.25">
      <c r="B785" s="3" t="s">
        <v>362</v>
      </c>
      <c r="C785" t="s">
        <v>480</v>
      </c>
      <c r="D785" t="str">
        <f>IF(_xlfn.XLOOKUP(C785, ABZ!A:A, ABZ!B:B, "", 0) = 0, "", _xlfn.XLOOKUP(C785, ABZ!A:A, ABZ!B:B, "", 0))</f>
        <v>D2C-MarketingContent</v>
      </c>
      <c r="E785" t="s">
        <v>834</v>
      </c>
      <c r="F785" t="s">
        <v>529</v>
      </c>
      <c r="I785">
        <f t="shared" si="36"/>
        <v>0</v>
      </c>
      <c r="J785" t="s">
        <v>875</v>
      </c>
      <c r="L785" s="9">
        <v>46093</v>
      </c>
      <c r="M785" s="9">
        <v>46099</v>
      </c>
      <c r="N785" s="18">
        <f t="shared" ca="1" si="37"/>
        <v>6</v>
      </c>
      <c r="O785" s="9">
        <v>46100</v>
      </c>
      <c r="P785" s="9" t="str">
        <f t="shared" si="38"/>
        <v>✅ Ja</v>
      </c>
      <c r="Q785" t="s">
        <v>845</v>
      </c>
      <c r="S785" t="s">
        <v>841</v>
      </c>
      <c r="T785" t="s">
        <v>540</v>
      </c>
      <c r="U785" t="s">
        <v>675</v>
      </c>
    </row>
    <row r="786" spans="2:21" x14ac:dyDescent="0.25">
      <c r="B786" s="3" t="s">
        <v>362</v>
      </c>
      <c r="C786" t="s">
        <v>480</v>
      </c>
      <c r="D786" t="str">
        <f>IF(_xlfn.XLOOKUP(C786, ABZ!A:A, ABZ!B:B, "", 0) = 0, "", _xlfn.XLOOKUP(C786, ABZ!A:A, ABZ!B:B, "", 0))</f>
        <v>D2C-MarketingContent</v>
      </c>
      <c r="E786" t="s">
        <v>834</v>
      </c>
      <c r="F786" t="s">
        <v>530</v>
      </c>
      <c r="I786">
        <f t="shared" si="36"/>
        <v>0</v>
      </c>
      <c r="J786" t="s">
        <v>875</v>
      </c>
      <c r="L786" s="9">
        <v>46093</v>
      </c>
      <c r="M786" s="9">
        <v>46099</v>
      </c>
      <c r="N786" s="18">
        <f t="shared" ca="1" si="37"/>
        <v>6</v>
      </c>
      <c r="O786" s="9">
        <v>46100</v>
      </c>
      <c r="P786" s="9" t="str">
        <f t="shared" si="38"/>
        <v>✅ Ja</v>
      </c>
      <c r="Q786" t="s">
        <v>839</v>
      </c>
      <c r="S786" t="s">
        <v>841</v>
      </c>
      <c r="T786" t="s">
        <v>540</v>
      </c>
      <c r="U786" t="s">
        <v>675</v>
      </c>
    </row>
    <row r="787" spans="2:21" x14ac:dyDescent="0.25">
      <c r="B787" s="3" t="s">
        <v>362</v>
      </c>
      <c r="C787" t="s">
        <v>480</v>
      </c>
      <c r="D787" t="str">
        <f>IF(_xlfn.XLOOKUP(C787, ABZ!A:A, ABZ!B:B, "", 0) = 0, "", _xlfn.XLOOKUP(C787, ABZ!A:A, ABZ!B:B, "", 0))</f>
        <v>D2C-MarketingContent</v>
      </c>
      <c r="E787" t="s">
        <v>834</v>
      </c>
      <c r="F787" t="s">
        <v>531</v>
      </c>
      <c r="I787">
        <f t="shared" si="36"/>
        <v>0</v>
      </c>
      <c r="J787" t="s">
        <v>875</v>
      </c>
      <c r="L787" s="9">
        <v>46093</v>
      </c>
      <c r="M787" s="9">
        <v>46099</v>
      </c>
      <c r="N787" s="18">
        <f t="shared" ca="1" si="37"/>
        <v>6</v>
      </c>
      <c r="O787" s="9">
        <v>46100</v>
      </c>
      <c r="P787" s="9" t="str">
        <f t="shared" si="38"/>
        <v>✅ Ja</v>
      </c>
      <c r="Q787" t="s">
        <v>843</v>
      </c>
      <c r="S787" t="s">
        <v>841</v>
      </c>
      <c r="T787" t="s">
        <v>540</v>
      </c>
      <c r="U787" t="s">
        <v>675</v>
      </c>
    </row>
    <row r="788" spans="2:21" x14ac:dyDescent="0.25">
      <c r="B788" s="3" t="s">
        <v>362</v>
      </c>
      <c r="C788" t="s">
        <v>480</v>
      </c>
      <c r="D788" t="str">
        <f>IF(_xlfn.XLOOKUP(C788, ABZ!A:A, ABZ!B:B, "", 0) = 0, "", _xlfn.XLOOKUP(C788, ABZ!A:A, ABZ!B:B, "", 0))</f>
        <v>D2C-MarketingContent</v>
      </c>
      <c r="E788" t="s">
        <v>834</v>
      </c>
      <c r="F788" t="s">
        <v>528</v>
      </c>
      <c r="I788">
        <f t="shared" si="36"/>
        <v>0</v>
      </c>
      <c r="J788" t="s">
        <v>875</v>
      </c>
      <c r="L788" s="9">
        <v>46093</v>
      </c>
      <c r="M788" s="9">
        <v>46099</v>
      </c>
      <c r="N788" s="18">
        <f t="shared" ca="1" si="37"/>
        <v>6</v>
      </c>
      <c r="O788" s="9">
        <v>46100</v>
      </c>
      <c r="P788" s="9" t="str">
        <f t="shared" si="38"/>
        <v>✅ Ja</v>
      </c>
      <c r="Q788" t="s">
        <v>841</v>
      </c>
      <c r="S788" t="s">
        <v>841</v>
      </c>
      <c r="T788" t="s">
        <v>540</v>
      </c>
      <c r="U788" t="s">
        <v>675</v>
      </c>
    </row>
    <row r="789" spans="2:21" x14ac:dyDescent="0.25">
      <c r="B789" s="3" t="s">
        <v>362</v>
      </c>
      <c r="C789" t="s">
        <v>480</v>
      </c>
      <c r="D789" t="str">
        <f>IF(_xlfn.XLOOKUP(C789, ABZ!A:A, ABZ!B:B, "", 0) = 0, "", _xlfn.XLOOKUP(C789, ABZ!A:A, ABZ!B:B, "", 0))</f>
        <v>D2C-MarketingContent</v>
      </c>
      <c r="E789" t="s">
        <v>834</v>
      </c>
      <c r="F789" t="s">
        <v>527</v>
      </c>
      <c r="I789">
        <f t="shared" si="36"/>
        <v>0</v>
      </c>
      <c r="J789" t="s">
        <v>875</v>
      </c>
      <c r="L789" s="9">
        <v>46093</v>
      </c>
      <c r="M789" s="9">
        <v>46099</v>
      </c>
      <c r="N789" s="18">
        <f t="shared" ca="1" si="37"/>
        <v>6</v>
      </c>
      <c r="O789" s="9">
        <v>46100</v>
      </c>
      <c r="P789" s="9" t="str">
        <f t="shared" si="38"/>
        <v>✅ Ja</v>
      </c>
      <c r="Q789" t="s">
        <v>836</v>
      </c>
      <c r="S789" t="s">
        <v>841</v>
      </c>
      <c r="T789" t="s">
        <v>540</v>
      </c>
      <c r="U789" t="s">
        <v>675</v>
      </c>
    </row>
    <row r="790" spans="2:21" x14ac:dyDescent="0.25">
      <c r="B790" s="3" t="s">
        <v>363</v>
      </c>
      <c r="C790" t="s">
        <v>472</v>
      </c>
      <c r="D790" t="str">
        <f>IF(_xlfn.XLOOKUP(C790, ABZ!A:A, ABZ!B:B, "", 0) = 0, "", _xlfn.XLOOKUP(C790, ABZ!A:A, ABZ!B:B, "", 0))</f>
        <v>D2C-MarketingContent</v>
      </c>
      <c r="E790" t="s">
        <v>834</v>
      </c>
      <c r="F790" t="s">
        <v>529</v>
      </c>
      <c r="I790">
        <f t="shared" si="36"/>
        <v>0</v>
      </c>
      <c r="J790" t="s">
        <v>875</v>
      </c>
      <c r="L790" s="9">
        <v>46093</v>
      </c>
      <c r="M790" s="9">
        <v>46097</v>
      </c>
      <c r="N790" s="18">
        <f t="shared" ca="1" si="37"/>
        <v>4</v>
      </c>
      <c r="O790" s="9">
        <v>46097</v>
      </c>
      <c r="P790" s="9" t="str">
        <f t="shared" si="38"/>
        <v>✅ Ja</v>
      </c>
      <c r="Q790" t="s">
        <v>845</v>
      </c>
      <c r="S790" t="s">
        <v>841</v>
      </c>
      <c r="T790" t="s">
        <v>540</v>
      </c>
      <c r="U790" t="s">
        <v>675</v>
      </c>
    </row>
    <row r="791" spans="2:21" x14ac:dyDescent="0.25">
      <c r="B791" s="3" t="s">
        <v>364</v>
      </c>
      <c r="C791" t="s">
        <v>504</v>
      </c>
      <c r="D791" t="str">
        <f>IF(_xlfn.XLOOKUP(C791, ABZ!A:A, ABZ!B:B, "", 0) = 0, "", _xlfn.XLOOKUP(C791, ABZ!A:A, ABZ!B:B, "", 0))</f>
        <v>SUP-TechnicalCommunication-TCO</v>
      </c>
      <c r="E791" t="s">
        <v>834</v>
      </c>
      <c r="F791" t="s">
        <v>529</v>
      </c>
      <c r="I791">
        <f t="shared" si="36"/>
        <v>0</v>
      </c>
      <c r="J791" t="s">
        <v>875</v>
      </c>
      <c r="L791" s="9">
        <v>46093</v>
      </c>
      <c r="M791" s="9">
        <v>46108</v>
      </c>
      <c r="N791" s="18">
        <f t="shared" ca="1" si="37"/>
        <v>15</v>
      </c>
      <c r="O791" s="9">
        <v>46107</v>
      </c>
      <c r="P791" s="9" t="str">
        <f t="shared" si="38"/>
        <v>❌ Nein</v>
      </c>
      <c r="Q791" t="s">
        <v>845</v>
      </c>
      <c r="S791" t="s">
        <v>841</v>
      </c>
      <c r="T791" t="s">
        <v>540</v>
      </c>
      <c r="U791" t="s">
        <v>675</v>
      </c>
    </row>
    <row r="792" spans="2:21" x14ac:dyDescent="0.25">
      <c r="B792" s="3" t="s">
        <v>364</v>
      </c>
      <c r="C792" t="s">
        <v>504</v>
      </c>
      <c r="D792" t="str">
        <f>IF(_xlfn.XLOOKUP(C792, ABZ!A:A, ABZ!B:B, "", 0) = 0, "", _xlfn.XLOOKUP(C792, ABZ!A:A, ABZ!B:B, "", 0))</f>
        <v>SUP-TechnicalCommunication-TCO</v>
      </c>
      <c r="E792" t="s">
        <v>834</v>
      </c>
      <c r="F792" t="s">
        <v>530</v>
      </c>
      <c r="I792">
        <f t="shared" si="36"/>
        <v>0</v>
      </c>
      <c r="J792" t="s">
        <v>875</v>
      </c>
      <c r="L792" s="9">
        <v>46093</v>
      </c>
      <c r="M792" s="9">
        <v>46108</v>
      </c>
      <c r="N792" s="18">
        <f t="shared" ca="1" si="37"/>
        <v>15</v>
      </c>
      <c r="O792" s="9">
        <v>46107</v>
      </c>
      <c r="P792" s="9" t="str">
        <f t="shared" si="38"/>
        <v>❌ Nein</v>
      </c>
      <c r="Q792" t="s">
        <v>839</v>
      </c>
      <c r="S792" t="s">
        <v>841</v>
      </c>
      <c r="T792" t="s">
        <v>540</v>
      </c>
      <c r="U792" t="s">
        <v>675</v>
      </c>
    </row>
    <row r="793" spans="2:21" x14ac:dyDescent="0.25">
      <c r="B793" s="3" t="s">
        <v>364</v>
      </c>
      <c r="C793" t="s">
        <v>504</v>
      </c>
      <c r="D793" t="str">
        <f>IF(_xlfn.XLOOKUP(C793, ABZ!A:A, ABZ!B:B, "", 0) = 0, "", _xlfn.XLOOKUP(C793, ABZ!A:A, ABZ!B:B, "", 0))</f>
        <v>SUP-TechnicalCommunication-TCO</v>
      </c>
      <c r="E793" t="s">
        <v>834</v>
      </c>
      <c r="F793" t="s">
        <v>531</v>
      </c>
      <c r="I793">
        <f t="shared" si="36"/>
        <v>0</v>
      </c>
      <c r="J793" t="s">
        <v>875</v>
      </c>
      <c r="L793" s="9">
        <v>46093</v>
      </c>
      <c r="M793" s="9">
        <v>46108</v>
      </c>
      <c r="N793" s="18">
        <f t="shared" ca="1" si="37"/>
        <v>15</v>
      </c>
      <c r="O793" s="9">
        <v>46107</v>
      </c>
      <c r="P793" s="9" t="str">
        <f t="shared" si="38"/>
        <v>❌ Nein</v>
      </c>
      <c r="Q793" t="s">
        <v>843</v>
      </c>
      <c r="S793" t="s">
        <v>841</v>
      </c>
      <c r="T793" t="s">
        <v>540</v>
      </c>
      <c r="U793" t="s">
        <v>675</v>
      </c>
    </row>
    <row r="794" spans="2:21" x14ac:dyDescent="0.25">
      <c r="B794" s="3" t="s">
        <v>364</v>
      </c>
      <c r="C794" t="s">
        <v>504</v>
      </c>
      <c r="D794" t="str">
        <f>IF(_xlfn.XLOOKUP(C794, ABZ!A:A, ABZ!B:B, "", 0) = 0, "", _xlfn.XLOOKUP(C794, ABZ!A:A, ABZ!B:B, "", 0))</f>
        <v>SUP-TechnicalCommunication-TCO</v>
      </c>
      <c r="E794" t="s">
        <v>834</v>
      </c>
      <c r="F794" t="s">
        <v>528</v>
      </c>
      <c r="I794">
        <f t="shared" si="36"/>
        <v>0</v>
      </c>
      <c r="J794" t="s">
        <v>875</v>
      </c>
      <c r="L794" s="9">
        <v>46093</v>
      </c>
      <c r="M794" s="9">
        <v>46108</v>
      </c>
      <c r="N794" s="18">
        <f t="shared" ca="1" si="37"/>
        <v>15</v>
      </c>
      <c r="O794" s="9">
        <v>46107</v>
      </c>
      <c r="P794" s="9" t="str">
        <f t="shared" si="38"/>
        <v>❌ Nein</v>
      </c>
      <c r="Q794" t="s">
        <v>847</v>
      </c>
      <c r="R794" t="s">
        <v>841</v>
      </c>
      <c r="S794" t="s">
        <v>841</v>
      </c>
      <c r="T794" t="s">
        <v>540</v>
      </c>
      <c r="U794" t="s">
        <v>675</v>
      </c>
    </row>
    <row r="795" spans="2:21" x14ac:dyDescent="0.25">
      <c r="B795" s="3" t="s">
        <v>364</v>
      </c>
      <c r="C795" t="s">
        <v>504</v>
      </c>
      <c r="D795" t="str">
        <f>IF(_xlfn.XLOOKUP(C795, ABZ!A:A, ABZ!B:B, "", 0) = 0, "", _xlfn.XLOOKUP(C795, ABZ!A:A, ABZ!B:B, "", 0))</f>
        <v>SUP-TechnicalCommunication-TCO</v>
      </c>
      <c r="E795" t="s">
        <v>834</v>
      </c>
      <c r="F795" t="s">
        <v>527</v>
      </c>
      <c r="I795">
        <f t="shared" si="36"/>
        <v>0</v>
      </c>
      <c r="J795" t="s">
        <v>875</v>
      </c>
      <c r="L795" s="9">
        <v>46093</v>
      </c>
      <c r="M795" s="9">
        <v>46108</v>
      </c>
      <c r="N795" s="18">
        <f t="shared" ca="1" si="37"/>
        <v>15</v>
      </c>
      <c r="O795" s="9">
        <v>46107</v>
      </c>
      <c r="P795" s="9" t="str">
        <f t="shared" si="38"/>
        <v>❌ Nein</v>
      </c>
      <c r="Q795" t="s">
        <v>836</v>
      </c>
      <c r="S795" t="s">
        <v>841</v>
      </c>
      <c r="T795" t="s">
        <v>540</v>
      </c>
      <c r="U795" t="s">
        <v>675</v>
      </c>
    </row>
    <row r="796" spans="2:21" x14ac:dyDescent="0.25">
      <c r="B796" s="3" t="s">
        <v>365</v>
      </c>
      <c r="C796" t="s">
        <v>478</v>
      </c>
      <c r="D796" t="str">
        <f>IF(_xlfn.XLOOKUP(C796, ABZ!A:A, ABZ!B:B, "", 0) = 0, "", _xlfn.XLOOKUP(C796, ABZ!A:A, ABZ!B:B, "", 0))</f>
        <v>D2C-MarketingContent</v>
      </c>
      <c r="E796" t="s">
        <v>834</v>
      </c>
      <c r="F796" t="s">
        <v>530</v>
      </c>
      <c r="I796">
        <f t="shared" si="36"/>
        <v>0</v>
      </c>
      <c r="J796" t="s">
        <v>875</v>
      </c>
      <c r="L796" s="9">
        <v>46093</v>
      </c>
      <c r="M796" s="9">
        <v>46112</v>
      </c>
      <c r="N796" s="18">
        <f t="shared" ca="1" si="37"/>
        <v>19</v>
      </c>
      <c r="O796" s="9">
        <v>46112</v>
      </c>
      <c r="P796" s="9" t="str">
        <f t="shared" si="38"/>
        <v>✅ Ja</v>
      </c>
      <c r="Q796" t="s">
        <v>844</v>
      </c>
      <c r="R796" t="s">
        <v>839</v>
      </c>
      <c r="S796" t="s">
        <v>841</v>
      </c>
      <c r="T796" t="s">
        <v>540</v>
      </c>
      <c r="U796" t="s">
        <v>675</v>
      </c>
    </row>
    <row r="797" spans="2:21" x14ac:dyDescent="0.25">
      <c r="B797" s="3" t="s">
        <v>366</v>
      </c>
      <c r="C797" t="s">
        <v>478</v>
      </c>
      <c r="D797" t="str">
        <f>IF(_xlfn.XLOOKUP(C797, ABZ!A:A, ABZ!B:B, "", 0) = 0, "", _xlfn.XLOOKUP(C797, ABZ!A:A, ABZ!B:B, "", 0))</f>
        <v>D2C-MarketingContent</v>
      </c>
      <c r="E797" t="s">
        <v>834</v>
      </c>
      <c r="F797" t="s">
        <v>530</v>
      </c>
      <c r="I797">
        <f t="shared" si="36"/>
        <v>0</v>
      </c>
      <c r="J797" t="s">
        <v>875</v>
      </c>
      <c r="L797" s="9">
        <v>46093</v>
      </c>
      <c r="M797" s="9">
        <v>46112</v>
      </c>
      <c r="N797" s="18">
        <f t="shared" ca="1" si="37"/>
        <v>19</v>
      </c>
      <c r="O797" s="9">
        <v>46112</v>
      </c>
      <c r="P797" s="9" t="str">
        <f t="shared" si="38"/>
        <v>✅ Ja</v>
      </c>
      <c r="Q797" t="s">
        <v>844</v>
      </c>
      <c r="R797" t="s">
        <v>839</v>
      </c>
      <c r="S797" t="s">
        <v>841</v>
      </c>
      <c r="T797" t="s">
        <v>540</v>
      </c>
      <c r="U797" t="s">
        <v>675</v>
      </c>
    </row>
    <row r="798" spans="2:21" x14ac:dyDescent="0.25">
      <c r="B798" s="3" t="s">
        <v>367</v>
      </c>
      <c r="C798" t="s">
        <v>478</v>
      </c>
      <c r="D798" t="str">
        <f>IF(_xlfn.XLOOKUP(C798, ABZ!A:A, ABZ!B:B, "", 0) = 0, "", _xlfn.XLOOKUP(C798, ABZ!A:A, ABZ!B:B, "", 0))</f>
        <v>D2C-MarketingContent</v>
      </c>
      <c r="E798" t="s">
        <v>834</v>
      </c>
      <c r="F798" t="s">
        <v>530</v>
      </c>
      <c r="I798">
        <f t="shared" si="36"/>
        <v>0</v>
      </c>
      <c r="J798" t="s">
        <v>875</v>
      </c>
      <c r="L798" s="9">
        <v>46093</v>
      </c>
      <c r="M798" s="9">
        <v>46112</v>
      </c>
      <c r="N798" s="18">
        <f t="shared" ca="1" si="37"/>
        <v>19</v>
      </c>
      <c r="O798" s="9">
        <v>46112</v>
      </c>
      <c r="P798" s="9" t="str">
        <f t="shared" si="38"/>
        <v>✅ Ja</v>
      </c>
      <c r="Q798" t="s">
        <v>844</v>
      </c>
      <c r="R798" t="s">
        <v>839</v>
      </c>
      <c r="S798" t="s">
        <v>841</v>
      </c>
      <c r="T798" t="s">
        <v>540</v>
      </c>
      <c r="U798" t="s">
        <v>675</v>
      </c>
    </row>
    <row r="799" spans="2:21" x14ac:dyDescent="0.25">
      <c r="B799" s="3" t="s">
        <v>365</v>
      </c>
      <c r="C799" t="s">
        <v>478</v>
      </c>
      <c r="D799" t="str">
        <f>IF(_xlfn.XLOOKUP(C799, ABZ!A:A, ABZ!B:B, "", 0) = 0, "", _xlfn.XLOOKUP(C799, ABZ!A:A, ABZ!B:B, "", 0))</f>
        <v>D2C-MarketingContent</v>
      </c>
      <c r="E799" t="s">
        <v>834</v>
      </c>
      <c r="F799" t="s">
        <v>531</v>
      </c>
      <c r="I799">
        <f t="shared" si="36"/>
        <v>0</v>
      </c>
      <c r="J799" t="s">
        <v>875</v>
      </c>
      <c r="L799" s="9">
        <v>46093</v>
      </c>
      <c r="M799" s="9">
        <v>46111</v>
      </c>
      <c r="N799" s="18">
        <f t="shared" ca="1" si="37"/>
        <v>18</v>
      </c>
      <c r="O799" s="9">
        <v>46112</v>
      </c>
      <c r="P799" s="9" t="str">
        <f t="shared" si="38"/>
        <v>✅ Ja</v>
      </c>
      <c r="Q799" t="s">
        <v>843</v>
      </c>
      <c r="R799" t="s">
        <v>840</v>
      </c>
      <c r="S799" t="s">
        <v>841</v>
      </c>
      <c r="T799" t="s">
        <v>540</v>
      </c>
      <c r="U799" t="s">
        <v>675</v>
      </c>
    </row>
    <row r="800" spans="2:21" x14ac:dyDescent="0.25">
      <c r="B800" s="3" t="s">
        <v>366</v>
      </c>
      <c r="C800" t="s">
        <v>478</v>
      </c>
      <c r="D800" t="str">
        <f>IF(_xlfn.XLOOKUP(C800, ABZ!A:A, ABZ!B:B, "", 0) = 0, "", _xlfn.XLOOKUP(C800, ABZ!A:A, ABZ!B:B, "", 0))</f>
        <v>D2C-MarketingContent</v>
      </c>
      <c r="E800" t="s">
        <v>834</v>
      </c>
      <c r="F800" t="s">
        <v>531</v>
      </c>
      <c r="I800">
        <f t="shared" si="36"/>
        <v>0</v>
      </c>
      <c r="J800" t="s">
        <v>875</v>
      </c>
      <c r="L800" s="9">
        <v>46093</v>
      </c>
      <c r="M800" s="9">
        <v>46111</v>
      </c>
      <c r="N800" s="18">
        <f t="shared" ca="1" si="37"/>
        <v>18</v>
      </c>
      <c r="O800" s="9">
        <v>46112</v>
      </c>
      <c r="P800" s="9" t="str">
        <f t="shared" si="38"/>
        <v>✅ Ja</v>
      </c>
      <c r="Q800" t="s">
        <v>843</v>
      </c>
      <c r="R800" t="s">
        <v>840</v>
      </c>
      <c r="S800" t="s">
        <v>841</v>
      </c>
      <c r="T800" t="s">
        <v>540</v>
      </c>
      <c r="U800" t="s">
        <v>675</v>
      </c>
    </row>
    <row r="801" spans="2:21" x14ac:dyDescent="0.25">
      <c r="B801" s="3" t="s">
        <v>367</v>
      </c>
      <c r="C801" t="s">
        <v>478</v>
      </c>
      <c r="D801" t="str">
        <f>IF(_xlfn.XLOOKUP(C801, ABZ!A:A, ABZ!B:B, "", 0) = 0, "", _xlfn.XLOOKUP(C801, ABZ!A:A, ABZ!B:B, "", 0))</f>
        <v>D2C-MarketingContent</v>
      </c>
      <c r="E801" t="s">
        <v>834</v>
      </c>
      <c r="F801" t="s">
        <v>531</v>
      </c>
      <c r="I801">
        <f t="shared" si="36"/>
        <v>0</v>
      </c>
      <c r="J801" t="s">
        <v>875</v>
      </c>
      <c r="L801" s="9">
        <v>46093</v>
      </c>
      <c r="M801" s="9">
        <v>46111</v>
      </c>
      <c r="N801" s="18">
        <f t="shared" ca="1" si="37"/>
        <v>18</v>
      </c>
      <c r="O801" s="9">
        <v>46112</v>
      </c>
      <c r="P801" s="9" t="str">
        <f t="shared" si="38"/>
        <v>✅ Ja</v>
      </c>
      <c r="Q801" t="s">
        <v>843</v>
      </c>
      <c r="R801" t="s">
        <v>840</v>
      </c>
      <c r="S801" t="s">
        <v>841</v>
      </c>
      <c r="T801" t="s">
        <v>540</v>
      </c>
      <c r="U801" t="s">
        <v>675</v>
      </c>
    </row>
    <row r="802" spans="2:21" x14ac:dyDescent="0.25">
      <c r="B802" s="3" t="s">
        <v>365</v>
      </c>
      <c r="C802" t="s">
        <v>478</v>
      </c>
      <c r="D802" t="str">
        <f>IF(_xlfn.XLOOKUP(C802, ABZ!A:A, ABZ!B:B, "", 0) = 0, "", _xlfn.XLOOKUP(C802, ABZ!A:A, ABZ!B:B, "", 0))</f>
        <v>D2C-MarketingContent</v>
      </c>
      <c r="E802" t="s">
        <v>834</v>
      </c>
      <c r="F802" t="s">
        <v>528</v>
      </c>
      <c r="I802">
        <f t="shared" si="36"/>
        <v>0</v>
      </c>
      <c r="J802" t="s">
        <v>875</v>
      </c>
      <c r="L802" s="9">
        <v>46093</v>
      </c>
      <c r="M802" s="9">
        <v>46111</v>
      </c>
      <c r="N802" s="18">
        <f t="shared" ca="1" si="37"/>
        <v>18</v>
      </c>
      <c r="O802" s="9">
        <v>46112</v>
      </c>
      <c r="P802" s="9" t="str">
        <f t="shared" si="38"/>
        <v>✅ Ja</v>
      </c>
      <c r="Q802" t="s">
        <v>847</v>
      </c>
      <c r="R802" t="s">
        <v>841</v>
      </c>
      <c r="S802" t="s">
        <v>841</v>
      </c>
      <c r="T802" t="s">
        <v>540</v>
      </c>
      <c r="U802" t="s">
        <v>675</v>
      </c>
    </row>
    <row r="803" spans="2:21" x14ac:dyDescent="0.25">
      <c r="B803" s="3" t="s">
        <v>366</v>
      </c>
      <c r="C803" t="s">
        <v>478</v>
      </c>
      <c r="D803" t="str">
        <f>IF(_xlfn.XLOOKUP(C803, ABZ!A:A, ABZ!B:B, "", 0) = 0, "", _xlfn.XLOOKUP(C803, ABZ!A:A, ABZ!B:B, "", 0))</f>
        <v>D2C-MarketingContent</v>
      </c>
      <c r="E803" t="s">
        <v>834</v>
      </c>
      <c r="F803" t="s">
        <v>528</v>
      </c>
      <c r="I803">
        <f t="shared" si="36"/>
        <v>0</v>
      </c>
      <c r="J803" t="s">
        <v>875</v>
      </c>
      <c r="L803" s="9">
        <v>46093</v>
      </c>
      <c r="M803" s="9">
        <v>46111</v>
      </c>
      <c r="N803" s="18">
        <f t="shared" ca="1" si="37"/>
        <v>18</v>
      </c>
      <c r="O803" s="9">
        <v>46112</v>
      </c>
      <c r="P803" s="9" t="str">
        <f t="shared" si="38"/>
        <v>✅ Ja</v>
      </c>
      <c r="Q803" t="s">
        <v>847</v>
      </c>
      <c r="R803" t="s">
        <v>841</v>
      </c>
      <c r="S803" t="s">
        <v>841</v>
      </c>
      <c r="T803" t="s">
        <v>540</v>
      </c>
      <c r="U803" t="s">
        <v>675</v>
      </c>
    </row>
    <row r="804" spans="2:21" x14ac:dyDescent="0.25">
      <c r="B804" s="3" t="s">
        <v>367</v>
      </c>
      <c r="C804" t="s">
        <v>478</v>
      </c>
      <c r="D804" t="str">
        <f>IF(_xlfn.XLOOKUP(C804, ABZ!A:A, ABZ!B:B, "", 0) = 0, "", _xlfn.XLOOKUP(C804, ABZ!A:A, ABZ!B:B, "", 0))</f>
        <v>D2C-MarketingContent</v>
      </c>
      <c r="E804" t="s">
        <v>834</v>
      </c>
      <c r="F804" t="s">
        <v>528</v>
      </c>
      <c r="I804">
        <f t="shared" si="36"/>
        <v>0</v>
      </c>
      <c r="J804" t="s">
        <v>875</v>
      </c>
      <c r="L804" s="9">
        <v>46093</v>
      </c>
      <c r="M804" s="9">
        <v>46111</v>
      </c>
      <c r="N804" s="18">
        <f t="shared" ca="1" si="37"/>
        <v>18</v>
      </c>
      <c r="O804" s="9">
        <v>46112</v>
      </c>
      <c r="P804" s="9" t="str">
        <f t="shared" si="38"/>
        <v>✅ Ja</v>
      </c>
      <c r="Q804" t="s">
        <v>847</v>
      </c>
      <c r="R804" t="s">
        <v>841</v>
      </c>
      <c r="S804" t="s">
        <v>841</v>
      </c>
      <c r="T804" t="s">
        <v>540</v>
      </c>
      <c r="U804" t="s">
        <v>675</v>
      </c>
    </row>
    <row r="805" spans="2:21" x14ac:dyDescent="0.25">
      <c r="B805" s="3" t="s">
        <v>365</v>
      </c>
      <c r="C805" t="s">
        <v>478</v>
      </c>
      <c r="D805" t="str">
        <f>IF(_xlfn.XLOOKUP(C805, ABZ!A:A, ABZ!B:B, "", 0) = 0, "", _xlfn.XLOOKUP(C805, ABZ!A:A, ABZ!B:B, "", 0))</f>
        <v>D2C-MarketingContent</v>
      </c>
      <c r="E805" t="s">
        <v>834</v>
      </c>
      <c r="F805" t="s">
        <v>527</v>
      </c>
      <c r="I805">
        <f t="shared" si="36"/>
        <v>0</v>
      </c>
      <c r="J805" t="s">
        <v>875</v>
      </c>
      <c r="L805" s="9">
        <v>46093</v>
      </c>
      <c r="M805" s="9">
        <v>46111</v>
      </c>
      <c r="N805" s="18">
        <f t="shared" ca="1" si="37"/>
        <v>18</v>
      </c>
      <c r="O805" s="9">
        <v>46112</v>
      </c>
      <c r="P805" s="9" t="str">
        <f t="shared" si="38"/>
        <v>✅ Ja</v>
      </c>
      <c r="Q805" t="s">
        <v>836</v>
      </c>
      <c r="S805" t="s">
        <v>841</v>
      </c>
      <c r="T805" t="s">
        <v>540</v>
      </c>
      <c r="U805" t="s">
        <v>675</v>
      </c>
    </row>
    <row r="806" spans="2:21" x14ac:dyDescent="0.25">
      <c r="B806" s="3" t="s">
        <v>366</v>
      </c>
      <c r="C806" t="s">
        <v>478</v>
      </c>
      <c r="D806" t="str">
        <f>IF(_xlfn.XLOOKUP(C806, ABZ!A:A, ABZ!B:B, "", 0) = 0, "", _xlfn.XLOOKUP(C806, ABZ!A:A, ABZ!B:B, "", 0))</f>
        <v>D2C-MarketingContent</v>
      </c>
      <c r="E806" t="s">
        <v>834</v>
      </c>
      <c r="F806" t="s">
        <v>527</v>
      </c>
      <c r="I806">
        <f t="shared" si="36"/>
        <v>0</v>
      </c>
      <c r="J806" t="s">
        <v>875</v>
      </c>
      <c r="L806" s="9">
        <v>46093</v>
      </c>
      <c r="M806" s="9">
        <v>46111</v>
      </c>
      <c r="N806" s="18">
        <f t="shared" ca="1" si="37"/>
        <v>18</v>
      </c>
      <c r="O806" s="9">
        <v>46112</v>
      </c>
      <c r="P806" s="9" t="str">
        <f t="shared" si="38"/>
        <v>✅ Ja</v>
      </c>
      <c r="Q806" t="s">
        <v>836</v>
      </c>
      <c r="S806" t="s">
        <v>841</v>
      </c>
      <c r="T806" t="s">
        <v>540</v>
      </c>
      <c r="U806" t="s">
        <v>675</v>
      </c>
    </row>
    <row r="807" spans="2:21" x14ac:dyDescent="0.25">
      <c r="B807" s="3" t="s">
        <v>367</v>
      </c>
      <c r="C807" t="s">
        <v>478</v>
      </c>
      <c r="D807" t="str">
        <f>IF(_xlfn.XLOOKUP(C807, ABZ!A:A, ABZ!B:B, "", 0) = 0, "", _xlfn.XLOOKUP(C807, ABZ!A:A, ABZ!B:B, "", 0))</f>
        <v>D2C-MarketingContent</v>
      </c>
      <c r="E807" t="s">
        <v>834</v>
      </c>
      <c r="F807" t="s">
        <v>527</v>
      </c>
      <c r="I807">
        <f t="shared" si="36"/>
        <v>0</v>
      </c>
      <c r="J807" t="s">
        <v>875</v>
      </c>
      <c r="L807" s="9">
        <v>46093</v>
      </c>
      <c r="M807" s="9">
        <v>46111</v>
      </c>
      <c r="N807" s="18">
        <f t="shared" ca="1" si="37"/>
        <v>18</v>
      </c>
      <c r="O807" s="9">
        <v>46112</v>
      </c>
      <c r="P807" s="9" t="str">
        <f t="shared" si="38"/>
        <v>✅ Ja</v>
      </c>
      <c r="Q807" t="s">
        <v>836</v>
      </c>
      <c r="S807" t="s">
        <v>841</v>
      </c>
      <c r="T807" t="s">
        <v>540</v>
      </c>
      <c r="U807" t="s">
        <v>675</v>
      </c>
    </row>
    <row r="808" spans="2:21" x14ac:dyDescent="0.25">
      <c r="B808" s="4" t="s">
        <v>337</v>
      </c>
      <c r="C808" t="s">
        <v>517</v>
      </c>
      <c r="D808" t="str">
        <f>IF(_xlfn.XLOOKUP(C808, ABZ!A:A, ABZ!B:B, "", 0) = 0, "", _xlfn.XLOOKUP(C808, ABZ!A:A, ABZ!B:B, "", 0))</f>
        <v>KOM-Marketing</v>
      </c>
      <c r="E808" t="s">
        <v>835</v>
      </c>
      <c r="F808" t="s">
        <v>532</v>
      </c>
      <c r="H808">
        <v>2</v>
      </c>
      <c r="I808">
        <f t="shared" si="36"/>
        <v>1</v>
      </c>
      <c r="L808" s="9">
        <v>46091</v>
      </c>
      <c r="M808" s="9">
        <v>46092</v>
      </c>
      <c r="N808" s="18">
        <f t="shared" ca="1" si="37"/>
        <v>1</v>
      </c>
      <c r="O808" s="9">
        <v>46092</v>
      </c>
      <c r="P808" s="9" t="str">
        <f t="shared" si="38"/>
        <v>✅ Ja</v>
      </c>
      <c r="Q808" t="s">
        <v>838</v>
      </c>
      <c r="S808" t="s">
        <v>839</v>
      </c>
      <c r="T808" t="s">
        <v>540</v>
      </c>
      <c r="U808" t="s">
        <v>641</v>
      </c>
    </row>
    <row r="809" spans="2:21" x14ac:dyDescent="0.25">
      <c r="B809" t="s">
        <v>338</v>
      </c>
      <c r="C809" t="s">
        <v>517</v>
      </c>
      <c r="D809" t="str">
        <f>IF(_xlfn.XLOOKUP(C809, ABZ!A:A, ABZ!B:B, "", 0) = 0, "", _xlfn.XLOOKUP(C809, ABZ!A:A, ABZ!B:B, "", 0))</f>
        <v>KOM-Marketing</v>
      </c>
      <c r="E809" t="s">
        <v>835</v>
      </c>
      <c r="F809" t="s">
        <v>532</v>
      </c>
      <c r="H809">
        <v>2</v>
      </c>
      <c r="I809">
        <f t="shared" si="36"/>
        <v>1</v>
      </c>
      <c r="L809" s="9">
        <v>46091</v>
      </c>
      <c r="M809" s="9">
        <v>46092</v>
      </c>
      <c r="N809" s="18">
        <f t="shared" ca="1" si="37"/>
        <v>1</v>
      </c>
      <c r="O809" s="9">
        <v>46092</v>
      </c>
      <c r="P809" s="9" t="str">
        <f t="shared" si="38"/>
        <v>✅ Ja</v>
      </c>
      <c r="Q809" t="s">
        <v>838</v>
      </c>
      <c r="S809" t="s">
        <v>839</v>
      </c>
      <c r="T809" t="s">
        <v>540</v>
      </c>
      <c r="U809" t="s">
        <v>641</v>
      </c>
    </row>
    <row r="810" spans="2:21" x14ac:dyDescent="0.25">
      <c r="B810" t="s">
        <v>339</v>
      </c>
      <c r="C810" t="s">
        <v>517</v>
      </c>
      <c r="D810" t="str">
        <f>IF(_xlfn.XLOOKUP(C810, ABZ!A:A, ABZ!B:B, "", 0) = 0, "", _xlfn.XLOOKUP(C810, ABZ!A:A, ABZ!B:B, "", 0))</f>
        <v>KOM-Marketing</v>
      </c>
      <c r="E810" t="s">
        <v>834</v>
      </c>
      <c r="F810" t="s">
        <v>528</v>
      </c>
      <c r="I810">
        <f t="shared" si="36"/>
        <v>1</v>
      </c>
      <c r="L810" s="9">
        <v>46091</v>
      </c>
      <c r="M810" s="9">
        <v>46092</v>
      </c>
      <c r="N810" s="18">
        <f t="shared" ca="1" si="37"/>
        <v>1</v>
      </c>
      <c r="O810" s="9">
        <v>46092</v>
      </c>
      <c r="P810" s="9" t="str">
        <f t="shared" si="38"/>
        <v>✅ Ja</v>
      </c>
      <c r="Q810" t="s">
        <v>841</v>
      </c>
      <c r="S810" t="s">
        <v>839</v>
      </c>
      <c r="T810" t="s">
        <v>540</v>
      </c>
      <c r="U810" t="s">
        <v>668</v>
      </c>
    </row>
    <row r="811" spans="2:21" x14ac:dyDescent="0.25">
      <c r="B811" t="s">
        <v>340</v>
      </c>
      <c r="C811" t="s">
        <v>517</v>
      </c>
      <c r="D811" t="str">
        <f>IF(_xlfn.XLOOKUP(C811, ABZ!A:A, ABZ!B:B, "", 0) = 0, "", _xlfn.XLOOKUP(C811, ABZ!A:A, ABZ!B:B, "", 0))</f>
        <v>KOM-Marketing</v>
      </c>
      <c r="E811" t="s">
        <v>834</v>
      </c>
      <c r="F811" t="s">
        <v>528</v>
      </c>
      <c r="I811">
        <f t="shared" si="36"/>
        <v>1</v>
      </c>
      <c r="L811" s="9">
        <v>46091</v>
      </c>
      <c r="M811" s="9">
        <v>46092</v>
      </c>
      <c r="N811" s="18">
        <f t="shared" ca="1" si="37"/>
        <v>1</v>
      </c>
      <c r="O811" s="9">
        <v>46092</v>
      </c>
      <c r="P811" s="9" t="str">
        <f t="shared" si="38"/>
        <v>✅ Ja</v>
      </c>
      <c r="Q811" t="s">
        <v>841</v>
      </c>
      <c r="S811" t="s">
        <v>839</v>
      </c>
      <c r="T811" t="s">
        <v>540</v>
      </c>
      <c r="U811" t="s">
        <v>668</v>
      </c>
    </row>
    <row r="812" spans="2:21" x14ac:dyDescent="0.25">
      <c r="B812" t="s">
        <v>368</v>
      </c>
      <c r="C812" t="s">
        <v>483</v>
      </c>
      <c r="D812" t="str">
        <f>IF(_xlfn.XLOOKUP(C812, ABZ!A:A, ABZ!B:B, "", 0) = 0, "", _xlfn.XLOOKUP(C812, ABZ!A:A, ABZ!B:B, "", 0))</f>
        <v>SUP-TCO-KnowledgeManagement</v>
      </c>
      <c r="E812" t="s">
        <v>834</v>
      </c>
      <c r="F812" t="s">
        <v>529</v>
      </c>
      <c r="I812">
        <f t="shared" si="36"/>
        <v>0</v>
      </c>
      <c r="L812" s="9">
        <v>46094</v>
      </c>
      <c r="M812" s="9"/>
      <c r="N812" s="18">
        <f t="shared" ca="1" si="37"/>
        <v>70</v>
      </c>
      <c r="O812" s="9">
        <v>46107</v>
      </c>
      <c r="P812" s="9" t="str">
        <f t="shared" si="38"/>
        <v>⏳ Offen</v>
      </c>
      <c r="Q812" t="s">
        <v>845</v>
      </c>
      <c r="S812" t="s">
        <v>840</v>
      </c>
      <c r="T812" t="s">
        <v>540</v>
      </c>
      <c r="U812" t="s">
        <v>676</v>
      </c>
    </row>
    <row r="813" spans="2:21" x14ac:dyDescent="0.25">
      <c r="B813" t="s">
        <v>369</v>
      </c>
      <c r="C813" t="s">
        <v>462</v>
      </c>
      <c r="D813" t="str">
        <f>IF(_xlfn.XLOOKUP(C813, ABZ!A:A, ABZ!B:B, "", 0) = 0, "", _xlfn.XLOOKUP(C813, ABZ!A:A, ABZ!B:B, "", 0))</f>
        <v>SUP-TCO-KnowledgeManagement</v>
      </c>
      <c r="E813" t="s">
        <v>834</v>
      </c>
      <c r="F813" t="s">
        <v>529</v>
      </c>
      <c r="I813">
        <f t="shared" si="36"/>
        <v>0</v>
      </c>
      <c r="L813" s="9">
        <v>46094</v>
      </c>
      <c r="M813" s="9"/>
      <c r="N813" s="18">
        <f t="shared" ca="1" si="37"/>
        <v>70</v>
      </c>
      <c r="O813" s="9">
        <v>46107</v>
      </c>
      <c r="P813" s="9" t="str">
        <f t="shared" si="38"/>
        <v>⏳ Offen</v>
      </c>
      <c r="Q813" t="s">
        <v>845</v>
      </c>
      <c r="S813" t="s">
        <v>840</v>
      </c>
      <c r="T813" t="s">
        <v>540</v>
      </c>
      <c r="U813" t="s">
        <v>676</v>
      </c>
    </row>
    <row r="814" spans="2:21" x14ac:dyDescent="0.25">
      <c r="B814" t="s">
        <v>370</v>
      </c>
      <c r="C814" t="s">
        <v>483</v>
      </c>
      <c r="D814" t="str">
        <f>IF(_xlfn.XLOOKUP(C814, ABZ!A:A, ABZ!B:B, "", 0) = 0, "", _xlfn.XLOOKUP(C814, ABZ!A:A, ABZ!B:B, "", 0))</f>
        <v>SUP-TCO-KnowledgeManagement</v>
      </c>
      <c r="E814" t="s">
        <v>834</v>
      </c>
      <c r="F814" t="s">
        <v>527</v>
      </c>
      <c r="I814">
        <f t="shared" si="36"/>
        <v>0</v>
      </c>
      <c r="L814" s="9">
        <v>46094</v>
      </c>
      <c r="M814" s="9"/>
      <c r="N814" s="18">
        <f t="shared" ca="1" si="37"/>
        <v>70</v>
      </c>
      <c r="O814" s="9">
        <v>46107</v>
      </c>
      <c r="P814" s="9" t="str">
        <f t="shared" si="38"/>
        <v>⏳ Offen</v>
      </c>
      <c r="Q814" t="s">
        <v>836</v>
      </c>
      <c r="S814" t="s">
        <v>840</v>
      </c>
      <c r="T814" t="s">
        <v>540</v>
      </c>
      <c r="U814" t="s">
        <v>677</v>
      </c>
    </row>
    <row r="815" spans="2:21" x14ac:dyDescent="0.25">
      <c r="B815" t="s">
        <v>371</v>
      </c>
      <c r="C815" t="s">
        <v>462</v>
      </c>
      <c r="D815" t="str">
        <f>IF(_xlfn.XLOOKUP(C815, ABZ!A:A, ABZ!B:B, "", 0) = 0, "", _xlfn.XLOOKUP(C815, ABZ!A:A, ABZ!B:B, "", 0))</f>
        <v>SUP-TCO-KnowledgeManagement</v>
      </c>
      <c r="E815" t="s">
        <v>834</v>
      </c>
      <c r="F815" t="s">
        <v>527</v>
      </c>
      <c r="I815">
        <f t="shared" si="36"/>
        <v>0</v>
      </c>
      <c r="L815" s="9">
        <v>46094</v>
      </c>
      <c r="M815" s="9"/>
      <c r="N815" s="18">
        <f t="shared" ca="1" si="37"/>
        <v>70</v>
      </c>
      <c r="O815" s="9">
        <v>46107</v>
      </c>
      <c r="P815" s="9" t="str">
        <f t="shared" si="38"/>
        <v>⏳ Offen</v>
      </c>
      <c r="Q815" t="s">
        <v>836</v>
      </c>
      <c r="S815" t="s">
        <v>840</v>
      </c>
      <c r="T815" t="s">
        <v>540</v>
      </c>
      <c r="U815" t="s">
        <v>677</v>
      </c>
    </row>
    <row r="816" spans="2:21" x14ac:dyDescent="0.25">
      <c r="B816" t="s">
        <v>372</v>
      </c>
      <c r="C816" t="s">
        <v>462</v>
      </c>
      <c r="D816" t="str">
        <f>IF(_xlfn.XLOOKUP(C816, ABZ!A:A, ABZ!B:B, "", 0) = 0, "", _xlfn.XLOOKUP(C816, ABZ!A:A, ABZ!B:B, "", 0))</f>
        <v>SUP-TCO-KnowledgeManagement</v>
      </c>
      <c r="E816" t="s">
        <v>834</v>
      </c>
      <c r="F816" t="s">
        <v>531</v>
      </c>
      <c r="I816">
        <f t="shared" si="36"/>
        <v>0</v>
      </c>
      <c r="L816" s="9">
        <v>46094</v>
      </c>
      <c r="M816" s="9"/>
      <c r="N816" s="18">
        <f t="shared" ca="1" si="37"/>
        <v>70</v>
      </c>
      <c r="O816" s="9">
        <v>46107</v>
      </c>
      <c r="P816" s="9" t="str">
        <f t="shared" si="38"/>
        <v>⏳ Offen</v>
      </c>
      <c r="Q816" t="s">
        <v>840</v>
      </c>
      <c r="S816" t="s">
        <v>840</v>
      </c>
      <c r="T816" t="s">
        <v>540</v>
      </c>
      <c r="U816" t="s">
        <v>678</v>
      </c>
    </row>
    <row r="817" spans="2:21" x14ac:dyDescent="0.25">
      <c r="B817" t="s">
        <v>373</v>
      </c>
      <c r="C817" t="s">
        <v>462</v>
      </c>
      <c r="D817" t="str">
        <f>IF(_xlfn.XLOOKUP(C817, ABZ!A:A, ABZ!B:B, "", 0) = 0, "", _xlfn.XLOOKUP(C817, ABZ!A:A, ABZ!B:B, "", 0))</f>
        <v>SUP-TCO-KnowledgeManagement</v>
      </c>
      <c r="E817" t="s">
        <v>834</v>
      </c>
      <c r="F817" t="s">
        <v>531</v>
      </c>
      <c r="I817">
        <f t="shared" si="36"/>
        <v>0</v>
      </c>
      <c r="L817" s="9">
        <v>46094</v>
      </c>
      <c r="M817" s="9"/>
      <c r="N817" s="18">
        <f t="shared" ca="1" si="37"/>
        <v>70</v>
      </c>
      <c r="O817" s="9">
        <v>46107</v>
      </c>
      <c r="P817" s="9" t="str">
        <f t="shared" si="38"/>
        <v>⏳ Offen</v>
      </c>
      <c r="Q817" t="s">
        <v>840</v>
      </c>
      <c r="S817" t="s">
        <v>840</v>
      </c>
      <c r="T817" t="s">
        <v>540</v>
      </c>
      <c r="U817" t="s">
        <v>678</v>
      </c>
    </row>
    <row r="818" spans="2:21" x14ac:dyDescent="0.25">
      <c r="B818" t="s">
        <v>374</v>
      </c>
      <c r="C818" t="s">
        <v>462</v>
      </c>
      <c r="D818" t="str">
        <f>IF(_xlfn.XLOOKUP(C818, ABZ!A:A, ABZ!B:B, "", 0) = 0, "", _xlfn.XLOOKUP(C818, ABZ!A:A, ABZ!B:B, "", 0))</f>
        <v>SUP-TCO-KnowledgeManagement</v>
      </c>
      <c r="E818" t="s">
        <v>834</v>
      </c>
      <c r="F818" t="s">
        <v>530</v>
      </c>
      <c r="I818">
        <f t="shared" si="36"/>
        <v>0</v>
      </c>
      <c r="L818" s="9">
        <v>46094</v>
      </c>
      <c r="M818" s="9">
        <v>46098</v>
      </c>
      <c r="N818" s="18">
        <f t="shared" ca="1" si="37"/>
        <v>4</v>
      </c>
      <c r="O818" s="9">
        <v>46107</v>
      </c>
      <c r="P818" s="9" t="str">
        <f t="shared" si="38"/>
        <v>✅ Ja</v>
      </c>
      <c r="Q818" t="s">
        <v>839</v>
      </c>
      <c r="S818" t="s">
        <v>840</v>
      </c>
      <c r="T818" t="s">
        <v>540</v>
      </c>
      <c r="U818" t="s">
        <v>679</v>
      </c>
    </row>
    <row r="819" spans="2:21" x14ac:dyDescent="0.25">
      <c r="B819" t="s">
        <v>375</v>
      </c>
      <c r="C819" t="s">
        <v>462</v>
      </c>
      <c r="D819" t="str">
        <f>IF(_xlfn.XLOOKUP(C819, ABZ!A:A, ABZ!B:B, "", 0) = 0, "", _xlfn.XLOOKUP(C819, ABZ!A:A, ABZ!B:B, "", 0))</f>
        <v>SUP-TCO-KnowledgeManagement</v>
      </c>
      <c r="E819" t="s">
        <v>834</v>
      </c>
      <c r="F819" t="s">
        <v>530</v>
      </c>
      <c r="I819">
        <f t="shared" si="36"/>
        <v>0</v>
      </c>
      <c r="L819" s="9">
        <v>46094</v>
      </c>
      <c r="M819" s="9">
        <v>46098</v>
      </c>
      <c r="N819" s="18">
        <f t="shared" ca="1" si="37"/>
        <v>4</v>
      </c>
      <c r="O819" s="9">
        <v>46107</v>
      </c>
      <c r="P819" s="9" t="str">
        <f t="shared" si="38"/>
        <v>✅ Ja</v>
      </c>
      <c r="Q819" t="s">
        <v>839</v>
      </c>
      <c r="S819" t="s">
        <v>840</v>
      </c>
      <c r="T819" t="s">
        <v>540</v>
      </c>
      <c r="U819" t="s">
        <v>679</v>
      </c>
    </row>
    <row r="820" spans="2:21" x14ac:dyDescent="0.25">
      <c r="B820" t="s">
        <v>376</v>
      </c>
      <c r="C820" t="s">
        <v>462</v>
      </c>
      <c r="D820" t="str">
        <f>IF(_xlfn.XLOOKUP(C820, ABZ!A:A, ABZ!B:B, "", 0) = 0, "", _xlfn.XLOOKUP(C820, ABZ!A:A, ABZ!B:B, "", 0))</f>
        <v>SUP-TCO-KnowledgeManagement</v>
      </c>
      <c r="E820" t="s">
        <v>834</v>
      </c>
      <c r="F820" t="s">
        <v>528</v>
      </c>
      <c r="I820">
        <f t="shared" si="36"/>
        <v>0</v>
      </c>
      <c r="L820" s="9">
        <v>46094</v>
      </c>
      <c r="M820" s="9">
        <v>46105</v>
      </c>
      <c r="N820" s="18">
        <f t="shared" ca="1" si="37"/>
        <v>11</v>
      </c>
      <c r="O820" s="9">
        <v>46107</v>
      </c>
      <c r="P820" s="9" t="str">
        <f t="shared" si="38"/>
        <v>✅ Ja</v>
      </c>
      <c r="Q820" t="s">
        <v>841</v>
      </c>
      <c r="S820" t="s">
        <v>840</v>
      </c>
      <c r="T820" t="s">
        <v>540</v>
      </c>
      <c r="U820" t="s">
        <v>680</v>
      </c>
    </row>
    <row r="821" spans="2:21" x14ac:dyDescent="0.25">
      <c r="B821" t="s">
        <v>377</v>
      </c>
      <c r="C821" t="s">
        <v>462</v>
      </c>
      <c r="D821" t="str">
        <f>IF(_xlfn.XLOOKUP(C821, ABZ!A:A, ABZ!B:B, "", 0) = 0, "", _xlfn.XLOOKUP(C821, ABZ!A:A, ABZ!B:B, "", 0))</f>
        <v>SUP-TCO-KnowledgeManagement</v>
      </c>
      <c r="E821" t="s">
        <v>834</v>
      </c>
      <c r="F821" t="s">
        <v>528</v>
      </c>
      <c r="I821">
        <f t="shared" si="36"/>
        <v>0</v>
      </c>
      <c r="L821" s="9">
        <v>46094</v>
      </c>
      <c r="M821" s="9"/>
      <c r="N821" s="18">
        <f t="shared" ca="1" si="37"/>
        <v>70</v>
      </c>
      <c r="O821" s="9">
        <v>46107</v>
      </c>
      <c r="P821" s="9" t="str">
        <f t="shared" si="38"/>
        <v>⏳ Offen</v>
      </c>
      <c r="Q821" t="s">
        <v>841</v>
      </c>
      <c r="S821" t="s">
        <v>840</v>
      </c>
      <c r="T821" t="s">
        <v>540</v>
      </c>
      <c r="U821" t="s">
        <v>680</v>
      </c>
    </row>
    <row r="822" spans="2:21" x14ac:dyDescent="0.25">
      <c r="B822" s="3" t="s">
        <v>378</v>
      </c>
      <c r="C822" t="s">
        <v>458</v>
      </c>
      <c r="D822" t="str">
        <f>IF(_xlfn.XLOOKUP(C822, ABZ!A:A, ABZ!B:B, "", 0) = 0, "", _xlfn.XLOOKUP(C822, ABZ!A:A, ABZ!B:B, "", 0))</f>
        <v>VTR-CS-SER-PartnerCommunication</v>
      </c>
      <c r="E822" t="s">
        <v>834</v>
      </c>
      <c r="F822" t="s">
        <v>528</v>
      </c>
      <c r="I822">
        <f t="shared" si="36"/>
        <v>0</v>
      </c>
      <c r="J822" t="s">
        <v>875</v>
      </c>
      <c r="L822" s="9">
        <v>46094</v>
      </c>
      <c r="M822" s="9">
        <v>46100</v>
      </c>
      <c r="N822" s="18">
        <f t="shared" ca="1" si="37"/>
        <v>6</v>
      </c>
      <c r="O822" s="9">
        <v>46100</v>
      </c>
      <c r="P822" s="9" t="str">
        <f t="shared" si="38"/>
        <v>✅ Ja</v>
      </c>
      <c r="Q822" t="s">
        <v>847</v>
      </c>
      <c r="R822" t="s">
        <v>841</v>
      </c>
      <c r="S822" t="s">
        <v>839</v>
      </c>
      <c r="T822" t="s">
        <v>540</v>
      </c>
      <c r="U822" t="s">
        <v>641</v>
      </c>
    </row>
    <row r="823" spans="2:21" x14ac:dyDescent="0.25">
      <c r="B823" s="3" t="s">
        <v>378</v>
      </c>
      <c r="C823" t="s">
        <v>458</v>
      </c>
      <c r="D823" t="str">
        <f>IF(_xlfn.XLOOKUP(C823, ABZ!A:A, ABZ!B:B, "", 0) = 0, "", _xlfn.XLOOKUP(C823, ABZ!A:A, ABZ!B:B, "", 0))</f>
        <v>VTR-CS-SER-PartnerCommunication</v>
      </c>
      <c r="E823" t="s">
        <v>834</v>
      </c>
      <c r="F823" t="s">
        <v>527</v>
      </c>
      <c r="I823">
        <f t="shared" si="36"/>
        <v>0</v>
      </c>
      <c r="J823" t="s">
        <v>875</v>
      </c>
      <c r="L823" s="9">
        <v>46094</v>
      </c>
      <c r="M823" s="9">
        <v>46100</v>
      </c>
      <c r="N823" s="18">
        <f t="shared" ca="1" si="37"/>
        <v>6</v>
      </c>
      <c r="O823" s="9">
        <v>46100</v>
      </c>
      <c r="P823" s="9" t="str">
        <f t="shared" si="38"/>
        <v>✅ Ja</v>
      </c>
      <c r="Q823" t="s">
        <v>836</v>
      </c>
      <c r="S823" t="s">
        <v>839</v>
      </c>
      <c r="T823" t="s">
        <v>540</v>
      </c>
      <c r="U823" t="s">
        <v>641</v>
      </c>
    </row>
    <row r="824" spans="2:21" x14ac:dyDescent="0.25">
      <c r="B824" s="3" t="s">
        <v>378</v>
      </c>
      <c r="C824" t="s">
        <v>458</v>
      </c>
      <c r="D824" t="str">
        <f>IF(_xlfn.XLOOKUP(C824, ABZ!A:A, ABZ!B:B, "", 0) = 0, "", _xlfn.XLOOKUP(C824, ABZ!A:A, ABZ!B:B, "", 0))</f>
        <v>VTR-CS-SER-PartnerCommunication</v>
      </c>
      <c r="E824" t="s">
        <v>834</v>
      </c>
      <c r="F824" t="s">
        <v>530</v>
      </c>
      <c r="I824">
        <f t="shared" si="36"/>
        <v>0</v>
      </c>
      <c r="J824" t="s">
        <v>875</v>
      </c>
      <c r="L824" s="9">
        <v>46094</v>
      </c>
      <c r="M824" s="9">
        <v>46100</v>
      </c>
      <c r="N824" s="18">
        <f t="shared" ca="1" si="37"/>
        <v>6</v>
      </c>
      <c r="O824" s="9">
        <v>46100</v>
      </c>
      <c r="P824" s="9" t="str">
        <f t="shared" si="38"/>
        <v>✅ Ja</v>
      </c>
      <c r="Q824" t="s">
        <v>844</v>
      </c>
      <c r="R824" t="s">
        <v>839</v>
      </c>
      <c r="S824" t="s">
        <v>839</v>
      </c>
      <c r="T824" t="s">
        <v>540</v>
      </c>
      <c r="U824" t="s">
        <v>641</v>
      </c>
    </row>
    <row r="825" spans="2:21" x14ac:dyDescent="0.25">
      <c r="B825" s="3" t="s">
        <v>379</v>
      </c>
      <c r="C825" t="s">
        <v>458</v>
      </c>
      <c r="D825" t="str">
        <f>IF(_xlfn.XLOOKUP(C825, ABZ!A:A, ABZ!B:B, "", 0) = 0, "", _xlfn.XLOOKUP(C825, ABZ!A:A, ABZ!B:B, "", 0))</f>
        <v>VTR-CS-SER-PartnerCommunication</v>
      </c>
      <c r="E825" t="s">
        <v>834</v>
      </c>
      <c r="F825" t="s">
        <v>528</v>
      </c>
      <c r="I825">
        <f t="shared" si="36"/>
        <v>0</v>
      </c>
      <c r="J825" t="s">
        <v>875</v>
      </c>
      <c r="L825" s="9">
        <v>46097</v>
      </c>
      <c r="M825" s="9">
        <v>46101</v>
      </c>
      <c r="N825" s="18">
        <f t="shared" ca="1" si="37"/>
        <v>4</v>
      </c>
      <c r="O825" s="9">
        <v>46101</v>
      </c>
      <c r="P825" s="9" t="str">
        <f t="shared" si="38"/>
        <v>✅ Ja</v>
      </c>
      <c r="Q825" t="s">
        <v>847</v>
      </c>
      <c r="R825" t="s">
        <v>841</v>
      </c>
      <c r="S825" t="s">
        <v>839</v>
      </c>
      <c r="T825" t="s">
        <v>540</v>
      </c>
      <c r="U825" t="s">
        <v>641</v>
      </c>
    </row>
    <row r="826" spans="2:21" x14ac:dyDescent="0.25">
      <c r="B826" s="3" t="s">
        <v>380</v>
      </c>
      <c r="C826" t="s">
        <v>458</v>
      </c>
      <c r="D826" t="str">
        <f>IF(_xlfn.XLOOKUP(C826, ABZ!A:A, ABZ!B:B, "", 0) = 0, "", _xlfn.XLOOKUP(C826, ABZ!A:A, ABZ!B:B, "", 0))</f>
        <v>VTR-CS-SER-PartnerCommunication</v>
      </c>
      <c r="E826" t="s">
        <v>834</v>
      </c>
      <c r="F826" t="s">
        <v>530</v>
      </c>
      <c r="I826">
        <f t="shared" si="36"/>
        <v>0</v>
      </c>
      <c r="J826" t="s">
        <v>875</v>
      </c>
      <c r="L826" s="9">
        <v>46097</v>
      </c>
      <c r="M826" s="9">
        <v>46101</v>
      </c>
      <c r="N826" s="18">
        <f t="shared" ca="1" si="37"/>
        <v>4</v>
      </c>
      <c r="O826" s="9">
        <v>46101</v>
      </c>
      <c r="P826" s="9" t="str">
        <f t="shared" si="38"/>
        <v>✅ Ja</v>
      </c>
      <c r="Q826" t="s">
        <v>844</v>
      </c>
      <c r="R826" t="s">
        <v>839</v>
      </c>
      <c r="S826" t="s">
        <v>839</v>
      </c>
      <c r="T826" t="s">
        <v>540</v>
      </c>
      <c r="U826" t="s">
        <v>641</v>
      </c>
    </row>
    <row r="827" spans="2:21" x14ac:dyDescent="0.25">
      <c r="B827" s="3" t="s">
        <v>381</v>
      </c>
      <c r="C827" t="s">
        <v>492</v>
      </c>
      <c r="D827" t="str">
        <f>IF(_xlfn.XLOOKUP(C827, ABZ!A:A, ABZ!B:B, "", 0) = 0, "", _xlfn.XLOOKUP(C827, ABZ!A:A, ABZ!B:B, "", 0))</f>
        <v>KOM-PR</v>
      </c>
      <c r="E827" t="s">
        <v>835</v>
      </c>
      <c r="F827" t="s">
        <v>532</v>
      </c>
      <c r="H827">
        <v>2</v>
      </c>
      <c r="I827">
        <f t="shared" si="36"/>
        <v>0</v>
      </c>
      <c r="J827" t="s">
        <v>875</v>
      </c>
      <c r="L827" s="9">
        <v>46092</v>
      </c>
      <c r="M827" s="9">
        <v>46097</v>
      </c>
      <c r="N827" s="18">
        <f t="shared" ca="1" si="37"/>
        <v>5</v>
      </c>
      <c r="O827" s="9">
        <v>46097</v>
      </c>
      <c r="P827" s="9" t="str">
        <f t="shared" si="38"/>
        <v>✅ Ja</v>
      </c>
      <c r="Q827" t="s">
        <v>838</v>
      </c>
      <c r="S827" t="s">
        <v>840</v>
      </c>
      <c r="T827" t="s">
        <v>540</v>
      </c>
      <c r="U827" t="s">
        <v>681</v>
      </c>
    </row>
    <row r="828" spans="2:21" x14ac:dyDescent="0.25">
      <c r="B828" s="3" t="s">
        <v>382</v>
      </c>
      <c r="C828" t="s">
        <v>492</v>
      </c>
      <c r="D828" t="str">
        <f>IF(_xlfn.XLOOKUP(C828, ABZ!A:A, ABZ!B:B, "", 0) = 0, "", _xlfn.XLOOKUP(C828, ABZ!A:A, ABZ!B:B, "", 0))</f>
        <v>KOM-PR</v>
      </c>
      <c r="E828" t="s">
        <v>835</v>
      </c>
      <c r="F828" t="s">
        <v>532</v>
      </c>
      <c r="H828">
        <v>2</v>
      </c>
      <c r="I828">
        <f t="shared" si="36"/>
        <v>0</v>
      </c>
      <c r="J828" t="s">
        <v>875</v>
      </c>
      <c r="K828" t="s">
        <v>871</v>
      </c>
      <c r="L828" s="9">
        <v>46092</v>
      </c>
      <c r="M828" s="9">
        <v>46097</v>
      </c>
      <c r="N828" s="18">
        <f t="shared" ca="1" si="37"/>
        <v>5</v>
      </c>
      <c r="O828" s="9">
        <v>46097</v>
      </c>
      <c r="P828" s="9" t="str">
        <f t="shared" si="38"/>
        <v>✅ Ja</v>
      </c>
      <c r="Q828" t="s">
        <v>838</v>
      </c>
      <c r="S828" t="s">
        <v>840</v>
      </c>
      <c r="T828" t="s">
        <v>540</v>
      </c>
      <c r="U828" t="s">
        <v>681</v>
      </c>
    </row>
    <row r="829" spans="2:21" x14ac:dyDescent="0.25">
      <c r="B829" s="3" t="s">
        <v>383</v>
      </c>
      <c r="C829" t="s">
        <v>492</v>
      </c>
      <c r="D829" t="str">
        <f>IF(_xlfn.XLOOKUP(C829, ABZ!A:A, ABZ!B:B, "", 0) = 0, "", _xlfn.XLOOKUP(C829, ABZ!A:A, ABZ!B:B, "", 0))</f>
        <v>KOM-PR</v>
      </c>
      <c r="E829" t="s">
        <v>835</v>
      </c>
      <c r="F829" t="s">
        <v>532</v>
      </c>
      <c r="H829">
        <v>2</v>
      </c>
      <c r="I829">
        <f t="shared" si="36"/>
        <v>0</v>
      </c>
      <c r="J829" t="s">
        <v>875</v>
      </c>
      <c r="K829" t="s">
        <v>872</v>
      </c>
      <c r="L829" s="9">
        <v>46092</v>
      </c>
      <c r="M829" s="9">
        <v>46097</v>
      </c>
      <c r="N829" s="18">
        <f t="shared" ca="1" si="37"/>
        <v>5</v>
      </c>
      <c r="O829" s="9">
        <v>46097</v>
      </c>
      <c r="P829" s="9" t="str">
        <f t="shared" si="38"/>
        <v>✅ Ja</v>
      </c>
      <c r="Q829" t="s">
        <v>838</v>
      </c>
      <c r="S829" t="s">
        <v>840</v>
      </c>
      <c r="T829" t="s">
        <v>540</v>
      </c>
      <c r="U829" t="s">
        <v>681</v>
      </c>
    </row>
    <row r="830" spans="2:21" x14ac:dyDescent="0.25">
      <c r="B830" s="3" t="s">
        <v>384</v>
      </c>
      <c r="C830" t="s">
        <v>502</v>
      </c>
      <c r="D830" t="str">
        <f>IF(_xlfn.XLOOKUP(C830, ABZ!A:A, ABZ!B:B, "", 0) = 0, "", _xlfn.XLOOKUP(C830, ABZ!A:A, ABZ!B:B, "", 0))</f>
        <v>VTR-CS-CM-Retail</v>
      </c>
      <c r="E830" t="s">
        <v>834</v>
      </c>
      <c r="F830" t="s">
        <v>529</v>
      </c>
      <c r="I830">
        <f t="shared" si="36"/>
        <v>0</v>
      </c>
      <c r="J830" t="s">
        <v>875</v>
      </c>
      <c r="L830" s="9">
        <v>46097</v>
      </c>
      <c r="M830" s="9">
        <v>46104</v>
      </c>
      <c r="N830" s="18">
        <f t="shared" ca="1" si="37"/>
        <v>7</v>
      </c>
      <c r="O830" s="9">
        <v>46105</v>
      </c>
      <c r="P830" s="9" t="str">
        <f t="shared" si="38"/>
        <v>✅ Ja</v>
      </c>
      <c r="Q830" t="s">
        <v>845</v>
      </c>
      <c r="R830" t="s">
        <v>837</v>
      </c>
      <c r="S830" t="s">
        <v>839</v>
      </c>
      <c r="T830" t="s">
        <v>540</v>
      </c>
      <c r="U830" t="s">
        <v>641</v>
      </c>
    </row>
    <row r="831" spans="2:21" x14ac:dyDescent="0.25">
      <c r="B831" s="3" t="s">
        <v>384</v>
      </c>
      <c r="C831" t="s">
        <v>502</v>
      </c>
      <c r="D831" t="str">
        <f>IF(_xlfn.XLOOKUP(C831, ABZ!A:A, ABZ!B:B, "", 0) = 0, "", _xlfn.XLOOKUP(C831, ABZ!A:A, ABZ!B:B, "", 0))</f>
        <v>VTR-CS-CM-Retail</v>
      </c>
      <c r="E831" t="s">
        <v>834</v>
      </c>
      <c r="F831" t="s">
        <v>528</v>
      </c>
      <c r="I831">
        <f t="shared" si="36"/>
        <v>0</v>
      </c>
      <c r="J831" t="s">
        <v>875</v>
      </c>
      <c r="L831" s="9">
        <v>46097</v>
      </c>
      <c r="M831" s="9">
        <v>46104</v>
      </c>
      <c r="N831" s="18">
        <f t="shared" ca="1" si="37"/>
        <v>7</v>
      </c>
      <c r="O831" s="9">
        <v>46105</v>
      </c>
      <c r="P831" s="9" t="str">
        <f t="shared" si="38"/>
        <v>✅ Ja</v>
      </c>
      <c r="Q831" t="s">
        <v>847</v>
      </c>
      <c r="R831" t="s">
        <v>841</v>
      </c>
      <c r="S831" t="s">
        <v>839</v>
      </c>
      <c r="T831" t="s">
        <v>540</v>
      </c>
      <c r="U831" t="s">
        <v>668</v>
      </c>
    </row>
    <row r="832" spans="2:21" x14ac:dyDescent="0.25">
      <c r="B832" s="3" t="s">
        <v>385</v>
      </c>
      <c r="C832" t="s">
        <v>502</v>
      </c>
      <c r="D832" t="str">
        <f>IF(_xlfn.XLOOKUP(C832, ABZ!A:A, ABZ!B:B, "", 0) = 0, "", _xlfn.XLOOKUP(C832, ABZ!A:A, ABZ!B:B, "", 0))</f>
        <v>VTR-CS-CM-Retail</v>
      </c>
      <c r="E832" t="s">
        <v>834</v>
      </c>
      <c r="F832" t="s">
        <v>527</v>
      </c>
      <c r="I832">
        <f t="shared" si="36"/>
        <v>0</v>
      </c>
      <c r="J832" t="s">
        <v>875</v>
      </c>
      <c r="L832" s="9">
        <v>46097</v>
      </c>
      <c r="M832" s="9">
        <v>46104</v>
      </c>
      <c r="N832" s="18">
        <f t="shared" ca="1" si="37"/>
        <v>7</v>
      </c>
      <c r="O832" s="9">
        <v>46105</v>
      </c>
      <c r="P832" s="9" t="str">
        <f t="shared" si="38"/>
        <v>✅ Ja</v>
      </c>
      <c r="Q832" t="s">
        <v>836</v>
      </c>
      <c r="S832" t="s">
        <v>839</v>
      </c>
      <c r="T832" t="s">
        <v>540</v>
      </c>
      <c r="U832" t="s">
        <v>641</v>
      </c>
    </row>
    <row r="833" spans="2:21" x14ac:dyDescent="0.25">
      <c r="B833" s="3" t="s">
        <v>385</v>
      </c>
      <c r="C833" t="s">
        <v>502</v>
      </c>
      <c r="D833" t="str">
        <f>IF(_xlfn.XLOOKUP(C833, ABZ!A:A, ABZ!B:B, "", 0) = 0, "", _xlfn.XLOOKUP(C833, ABZ!A:A, ABZ!B:B, "", 0))</f>
        <v>VTR-CS-CM-Retail</v>
      </c>
      <c r="E833" t="s">
        <v>834</v>
      </c>
      <c r="F833" t="s">
        <v>531</v>
      </c>
      <c r="I833">
        <f t="shared" si="36"/>
        <v>0</v>
      </c>
      <c r="J833" t="s">
        <v>875</v>
      </c>
      <c r="L833" s="9">
        <v>46097</v>
      </c>
      <c r="M833" s="9">
        <v>46104</v>
      </c>
      <c r="N833" s="18">
        <f t="shared" ca="1" si="37"/>
        <v>7</v>
      </c>
      <c r="O833" s="9">
        <v>46105</v>
      </c>
      <c r="P833" s="9" t="str">
        <f t="shared" si="38"/>
        <v>✅ Ja</v>
      </c>
      <c r="Q833" t="s">
        <v>843</v>
      </c>
      <c r="S833" t="s">
        <v>839</v>
      </c>
      <c r="T833" t="s">
        <v>540</v>
      </c>
      <c r="U833" t="s">
        <v>641</v>
      </c>
    </row>
    <row r="834" spans="2:21" x14ac:dyDescent="0.25">
      <c r="B834" s="3" t="s">
        <v>385</v>
      </c>
      <c r="C834" t="s">
        <v>502</v>
      </c>
      <c r="D834" t="str">
        <f>IF(_xlfn.XLOOKUP(C834, ABZ!A:A, ABZ!B:B, "", 0) = 0, "", _xlfn.XLOOKUP(C834, ABZ!A:A, ABZ!B:B, "", 0))</f>
        <v>VTR-CS-CM-Retail</v>
      </c>
      <c r="E834" t="s">
        <v>834</v>
      </c>
      <c r="F834" t="s">
        <v>530</v>
      </c>
      <c r="I834">
        <f t="shared" si="36"/>
        <v>0</v>
      </c>
      <c r="J834" t="s">
        <v>875</v>
      </c>
      <c r="L834" s="9">
        <v>46097</v>
      </c>
      <c r="M834" s="9">
        <v>46104</v>
      </c>
      <c r="N834" s="18">
        <f t="shared" ca="1" si="37"/>
        <v>7</v>
      </c>
      <c r="O834" s="9">
        <v>46105</v>
      </c>
      <c r="P834" s="9" t="str">
        <f t="shared" si="38"/>
        <v>✅ Ja</v>
      </c>
      <c r="Q834" t="s">
        <v>844</v>
      </c>
      <c r="R834" t="s">
        <v>839</v>
      </c>
      <c r="S834" t="s">
        <v>839</v>
      </c>
      <c r="T834" t="s">
        <v>540</v>
      </c>
      <c r="U834" t="s">
        <v>641</v>
      </c>
    </row>
    <row r="835" spans="2:21" x14ac:dyDescent="0.25">
      <c r="B835" s="3" t="s">
        <v>385</v>
      </c>
      <c r="C835" t="s">
        <v>502</v>
      </c>
      <c r="D835" t="str">
        <f>IF(_xlfn.XLOOKUP(C835, ABZ!A:A, ABZ!B:B, "", 0) = 0, "", _xlfn.XLOOKUP(C835, ABZ!A:A, ABZ!B:B, "", 0))</f>
        <v>VTR-CS-CM-Retail</v>
      </c>
      <c r="E835" t="s">
        <v>834</v>
      </c>
      <c r="F835" t="s">
        <v>535</v>
      </c>
      <c r="I835">
        <f t="shared" ref="I835:I898" si="39">IF(AND(O835&lt;&gt;"",L835&lt;&gt;""),IF((O835-L835)&lt;=2,1,0),0)</f>
        <v>0</v>
      </c>
      <c r="J835" t="s">
        <v>875</v>
      </c>
      <c r="L835" s="9">
        <v>46097</v>
      </c>
      <c r="M835" s="9">
        <v>46104</v>
      </c>
      <c r="N835" s="18">
        <f t="shared" ref="N835:N898" ca="1" si="40">IF(M835&lt;&gt;"",M835-L835,TODAY()-L835)</f>
        <v>7</v>
      </c>
      <c r="O835" s="9">
        <v>46105</v>
      </c>
      <c r="P835" s="9" t="str">
        <f t="shared" ref="P835:P898" si="41">IF(M835="","⏳ Offen",IF(M835&lt;=O835,"✅ Ja","❌ Nein"))</f>
        <v>✅ Ja</v>
      </c>
      <c r="Q835" t="s">
        <v>842</v>
      </c>
      <c r="S835" t="s">
        <v>839</v>
      </c>
      <c r="T835" t="s">
        <v>540</v>
      </c>
      <c r="U835" t="s">
        <v>641</v>
      </c>
    </row>
    <row r="836" spans="2:21" x14ac:dyDescent="0.25">
      <c r="B836" t="s">
        <v>386</v>
      </c>
      <c r="C836" t="s">
        <v>468</v>
      </c>
      <c r="D836" t="str">
        <f>IF(_xlfn.XLOOKUP(C836, ABZ!A:A, ABZ!B:B, "", 0) = 0, "", _xlfn.XLOOKUP(C836, ABZ!A:A, ABZ!B:B, "", 0))</f>
        <v>SUP-TCO-KnowledgeManagement</v>
      </c>
      <c r="E836" t="s">
        <v>834</v>
      </c>
      <c r="F836" t="s">
        <v>527</v>
      </c>
      <c r="I836">
        <f t="shared" si="39"/>
        <v>0</v>
      </c>
      <c r="J836" t="s">
        <v>873</v>
      </c>
      <c r="K836">
        <v>136558</v>
      </c>
      <c r="L836" s="9">
        <v>46098</v>
      </c>
      <c r="M836" s="9">
        <v>46104</v>
      </c>
      <c r="N836" s="18">
        <f t="shared" ca="1" si="40"/>
        <v>6</v>
      </c>
      <c r="O836" s="9">
        <v>46105</v>
      </c>
      <c r="P836" s="9" t="str">
        <f t="shared" si="41"/>
        <v>✅ Ja</v>
      </c>
      <c r="Q836" t="s">
        <v>836</v>
      </c>
      <c r="S836" t="s">
        <v>840</v>
      </c>
      <c r="T836" t="s">
        <v>540</v>
      </c>
      <c r="U836" t="s">
        <v>622</v>
      </c>
    </row>
    <row r="837" spans="2:21" x14ac:dyDescent="0.25">
      <c r="B837" t="s">
        <v>387</v>
      </c>
      <c r="C837" t="s">
        <v>468</v>
      </c>
      <c r="D837" t="str">
        <f>IF(_xlfn.XLOOKUP(C837, ABZ!A:A, ABZ!B:B, "", 0) = 0, "", _xlfn.XLOOKUP(C837, ABZ!A:A, ABZ!B:B, "", 0))</f>
        <v>SUP-TCO-KnowledgeManagement</v>
      </c>
      <c r="E837" t="s">
        <v>834</v>
      </c>
      <c r="F837" t="s">
        <v>527</v>
      </c>
      <c r="I837">
        <f t="shared" si="39"/>
        <v>0</v>
      </c>
      <c r="J837" t="s">
        <v>873</v>
      </c>
      <c r="K837">
        <v>136558</v>
      </c>
      <c r="L837" s="9">
        <v>46098</v>
      </c>
      <c r="M837" s="9">
        <v>46104</v>
      </c>
      <c r="N837" s="18">
        <f t="shared" ca="1" si="40"/>
        <v>6</v>
      </c>
      <c r="O837" s="9">
        <v>46105</v>
      </c>
      <c r="P837" s="9" t="str">
        <f t="shared" si="41"/>
        <v>✅ Ja</v>
      </c>
      <c r="Q837" t="s">
        <v>836</v>
      </c>
      <c r="S837" t="s">
        <v>840</v>
      </c>
      <c r="T837" t="s">
        <v>540</v>
      </c>
      <c r="U837" t="s">
        <v>622</v>
      </c>
    </row>
    <row r="838" spans="2:21" x14ac:dyDescent="0.25">
      <c r="B838" t="s">
        <v>388</v>
      </c>
      <c r="C838" t="s">
        <v>468</v>
      </c>
      <c r="D838" t="str">
        <f>IF(_xlfn.XLOOKUP(C838, ABZ!A:A, ABZ!B:B, "", 0) = 0, "", _xlfn.XLOOKUP(C838, ABZ!A:A, ABZ!B:B, "", 0))</f>
        <v>SUP-TCO-KnowledgeManagement</v>
      </c>
      <c r="E838" t="s">
        <v>834</v>
      </c>
      <c r="F838" t="s">
        <v>529</v>
      </c>
      <c r="I838">
        <f t="shared" si="39"/>
        <v>0</v>
      </c>
      <c r="J838" t="s">
        <v>873</v>
      </c>
      <c r="K838">
        <v>136558</v>
      </c>
      <c r="L838" s="9">
        <v>46098</v>
      </c>
      <c r="M838" s="9">
        <v>46100</v>
      </c>
      <c r="N838" s="18">
        <f t="shared" ca="1" si="40"/>
        <v>2</v>
      </c>
      <c r="O838" s="9">
        <v>46105</v>
      </c>
      <c r="P838" s="9" t="str">
        <f t="shared" si="41"/>
        <v>✅ Ja</v>
      </c>
      <c r="Q838" t="s">
        <v>837</v>
      </c>
      <c r="S838" t="s">
        <v>840</v>
      </c>
      <c r="T838" t="s">
        <v>540</v>
      </c>
      <c r="U838" t="s">
        <v>622</v>
      </c>
    </row>
    <row r="839" spans="2:21" x14ac:dyDescent="0.25">
      <c r="B839" t="s">
        <v>389</v>
      </c>
      <c r="C839" t="s">
        <v>468</v>
      </c>
      <c r="D839" t="str">
        <f>IF(_xlfn.XLOOKUP(C839, ABZ!A:A, ABZ!B:B, "", 0) = 0, "", _xlfn.XLOOKUP(C839, ABZ!A:A, ABZ!B:B, "", 0))</f>
        <v>SUP-TCO-KnowledgeManagement</v>
      </c>
      <c r="E839" t="s">
        <v>834</v>
      </c>
      <c r="F839" t="s">
        <v>529</v>
      </c>
      <c r="I839">
        <f t="shared" si="39"/>
        <v>0</v>
      </c>
      <c r="J839" t="s">
        <v>873</v>
      </c>
      <c r="K839">
        <v>136558</v>
      </c>
      <c r="L839" s="9">
        <v>46098</v>
      </c>
      <c r="M839" s="9">
        <v>46100</v>
      </c>
      <c r="N839" s="18">
        <f t="shared" ca="1" si="40"/>
        <v>2</v>
      </c>
      <c r="O839" s="9">
        <v>46105</v>
      </c>
      <c r="P839" s="9" t="str">
        <f t="shared" si="41"/>
        <v>✅ Ja</v>
      </c>
      <c r="Q839" t="s">
        <v>837</v>
      </c>
      <c r="S839" t="s">
        <v>840</v>
      </c>
      <c r="T839" t="s">
        <v>540</v>
      </c>
      <c r="U839" t="s">
        <v>622</v>
      </c>
    </row>
    <row r="840" spans="2:21" x14ac:dyDescent="0.25">
      <c r="B840" t="s">
        <v>390</v>
      </c>
      <c r="C840" t="s">
        <v>468</v>
      </c>
      <c r="D840" t="str">
        <f>IF(_xlfn.XLOOKUP(C840, ABZ!A:A, ABZ!B:B, "", 0) = 0, "", _xlfn.XLOOKUP(C840, ABZ!A:A, ABZ!B:B, "", 0))</f>
        <v>SUP-TCO-KnowledgeManagement</v>
      </c>
      <c r="E840" t="s">
        <v>834</v>
      </c>
      <c r="F840" t="s">
        <v>528</v>
      </c>
      <c r="I840">
        <f t="shared" si="39"/>
        <v>0</v>
      </c>
      <c r="J840" t="s">
        <v>873</v>
      </c>
      <c r="K840">
        <v>136558</v>
      </c>
      <c r="L840" s="9">
        <v>46098</v>
      </c>
      <c r="M840" s="9">
        <v>46101</v>
      </c>
      <c r="N840" s="18">
        <f t="shared" ca="1" si="40"/>
        <v>3</v>
      </c>
      <c r="O840" s="9">
        <v>46105</v>
      </c>
      <c r="P840" s="9" t="str">
        <f t="shared" si="41"/>
        <v>✅ Ja</v>
      </c>
      <c r="Q840" t="s">
        <v>841</v>
      </c>
      <c r="S840" t="s">
        <v>840</v>
      </c>
      <c r="T840" t="s">
        <v>540</v>
      </c>
      <c r="U840" t="s">
        <v>622</v>
      </c>
    </row>
    <row r="841" spans="2:21" x14ac:dyDescent="0.25">
      <c r="B841" t="s">
        <v>391</v>
      </c>
      <c r="C841" t="s">
        <v>468</v>
      </c>
      <c r="D841" t="str">
        <f>IF(_xlfn.XLOOKUP(C841, ABZ!A:A, ABZ!B:B, "", 0) = 0, "", _xlfn.XLOOKUP(C841, ABZ!A:A, ABZ!B:B, "", 0))</f>
        <v>SUP-TCO-KnowledgeManagement</v>
      </c>
      <c r="E841" t="s">
        <v>834</v>
      </c>
      <c r="F841" t="s">
        <v>528</v>
      </c>
      <c r="I841">
        <f t="shared" si="39"/>
        <v>0</v>
      </c>
      <c r="J841" t="s">
        <v>873</v>
      </c>
      <c r="K841">
        <v>136558</v>
      </c>
      <c r="L841" s="9">
        <v>46098</v>
      </c>
      <c r="M841" s="9">
        <v>46101</v>
      </c>
      <c r="N841" s="18">
        <f t="shared" ca="1" si="40"/>
        <v>3</v>
      </c>
      <c r="O841" s="9">
        <v>46105</v>
      </c>
      <c r="P841" s="9" t="str">
        <f t="shared" si="41"/>
        <v>✅ Ja</v>
      </c>
      <c r="Q841" t="s">
        <v>841</v>
      </c>
      <c r="S841" t="s">
        <v>840</v>
      </c>
      <c r="T841" t="s">
        <v>540</v>
      </c>
      <c r="U841" t="s">
        <v>622</v>
      </c>
    </row>
    <row r="842" spans="2:21" x14ac:dyDescent="0.25">
      <c r="B842" t="s">
        <v>392</v>
      </c>
      <c r="C842" t="s">
        <v>468</v>
      </c>
      <c r="D842" t="str">
        <f>IF(_xlfn.XLOOKUP(C842, ABZ!A:A, ABZ!B:B, "", 0) = 0, "", _xlfn.XLOOKUP(C842, ABZ!A:A, ABZ!B:B, "", 0))</f>
        <v>SUP-TCO-KnowledgeManagement</v>
      </c>
      <c r="E842" t="s">
        <v>834</v>
      </c>
      <c r="F842" t="s">
        <v>530</v>
      </c>
      <c r="I842">
        <f t="shared" si="39"/>
        <v>0</v>
      </c>
      <c r="J842" t="s">
        <v>873</v>
      </c>
      <c r="K842">
        <v>136558</v>
      </c>
      <c r="L842" s="9">
        <v>46098</v>
      </c>
      <c r="M842" s="9">
        <v>46101</v>
      </c>
      <c r="N842" s="18">
        <f t="shared" ca="1" si="40"/>
        <v>3</v>
      </c>
      <c r="O842" s="9">
        <v>46105</v>
      </c>
      <c r="P842" s="9" t="str">
        <f t="shared" si="41"/>
        <v>✅ Ja</v>
      </c>
      <c r="Q842" t="s">
        <v>839</v>
      </c>
      <c r="S842" t="s">
        <v>840</v>
      </c>
      <c r="T842" t="s">
        <v>540</v>
      </c>
      <c r="U842" t="s">
        <v>622</v>
      </c>
    </row>
    <row r="843" spans="2:21" x14ac:dyDescent="0.25">
      <c r="B843" t="s">
        <v>393</v>
      </c>
      <c r="C843" t="s">
        <v>468</v>
      </c>
      <c r="D843" t="str">
        <f>IF(_xlfn.XLOOKUP(C843, ABZ!A:A, ABZ!B:B, "", 0) = 0, "", _xlfn.XLOOKUP(C843, ABZ!A:A, ABZ!B:B, "", 0))</f>
        <v>SUP-TCO-KnowledgeManagement</v>
      </c>
      <c r="E843" t="s">
        <v>834</v>
      </c>
      <c r="F843" t="s">
        <v>530</v>
      </c>
      <c r="I843">
        <f t="shared" si="39"/>
        <v>0</v>
      </c>
      <c r="J843" t="s">
        <v>873</v>
      </c>
      <c r="K843">
        <v>136558</v>
      </c>
      <c r="L843" s="9">
        <v>46098</v>
      </c>
      <c r="M843" s="9">
        <v>46101</v>
      </c>
      <c r="N843" s="18">
        <f t="shared" ca="1" si="40"/>
        <v>3</v>
      </c>
      <c r="O843" s="9">
        <v>46105</v>
      </c>
      <c r="P843" s="9" t="str">
        <f t="shared" si="41"/>
        <v>✅ Ja</v>
      </c>
      <c r="Q843" t="s">
        <v>839</v>
      </c>
      <c r="S843" t="s">
        <v>840</v>
      </c>
      <c r="T843" t="s">
        <v>540</v>
      </c>
      <c r="U843" t="s">
        <v>622</v>
      </c>
    </row>
    <row r="844" spans="2:21" x14ac:dyDescent="0.25">
      <c r="B844" t="s">
        <v>394</v>
      </c>
      <c r="C844" t="s">
        <v>468</v>
      </c>
      <c r="D844" t="str">
        <f>IF(_xlfn.XLOOKUP(C844, ABZ!A:A, ABZ!B:B, "", 0) = 0, "", _xlfn.XLOOKUP(C844, ABZ!A:A, ABZ!B:B, "", 0))</f>
        <v>SUP-TCO-KnowledgeManagement</v>
      </c>
      <c r="E844" t="s">
        <v>834</v>
      </c>
      <c r="F844" t="s">
        <v>531</v>
      </c>
      <c r="I844">
        <f t="shared" si="39"/>
        <v>0</v>
      </c>
      <c r="J844" t="s">
        <v>873</v>
      </c>
      <c r="K844">
        <v>136558</v>
      </c>
      <c r="L844" s="9">
        <v>46098</v>
      </c>
      <c r="M844" s="9">
        <v>46101</v>
      </c>
      <c r="N844" s="18">
        <f t="shared" ca="1" si="40"/>
        <v>3</v>
      </c>
      <c r="O844" s="9">
        <v>46105</v>
      </c>
      <c r="P844" s="9" t="str">
        <f t="shared" si="41"/>
        <v>✅ Ja</v>
      </c>
      <c r="Q844" t="s">
        <v>840</v>
      </c>
      <c r="S844" t="s">
        <v>840</v>
      </c>
      <c r="T844" t="s">
        <v>540</v>
      </c>
      <c r="U844" t="s">
        <v>622</v>
      </c>
    </row>
    <row r="845" spans="2:21" x14ac:dyDescent="0.25">
      <c r="B845" t="s">
        <v>395</v>
      </c>
      <c r="C845" t="s">
        <v>468</v>
      </c>
      <c r="D845" t="str">
        <f>IF(_xlfn.XLOOKUP(C845, ABZ!A:A, ABZ!B:B, "", 0) = 0, "", _xlfn.XLOOKUP(C845, ABZ!A:A, ABZ!B:B, "", 0))</f>
        <v>SUP-TCO-KnowledgeManagement</v>
      </c>
      <c r="E845" t="s">
        <v>834</v>
      </c>
      <c r="F845" t="s">
        <v>531</v>
      </c>
      <c r="I845">
        <f t="shared" si="39"/>
        <v>0</v>
      </c>
      <c r="J845" t="s">
        <v>873</v>
      </c>
      <c r="K845">
        <v>136558</v>
      </c>
      <c r="L845" s="9">
        <v>46098</v>
      </c>
      <c r="M845" s="9">
        <v>46101</v>
      </c>
      <c r="N845" s="18">
        <f t="shared" ca="1" si="40"/>
        <v>3</v>
      </c>
      <c r="O845" s="9">
        <v>46105</v>
      </c>
      <c r="P845" s="9" t="str">
        <f t="shared" si="41"/>
        <v>✅ Ja</v>
      </c>
      <c r="Q845" t="s">
        <v>840</v>
      </c>
      <c r="S845" t="s">
        <v>840</v>
      </c>
      <c r="T845" t="s">
        <v>540</v>
      </c>
      <c r="U845" t="s">
        <v>622</v>
      </c>
    </row>
    <row r="846" spans="2:21" x14ac:dyDescent="0.25">
      <c r="B846" t="s">
        <v>396</v>
      </c>
      <c r="C846" t="s">
        <v>468</v>
      </c>
      <c r="D846" t="str">
        <f>IF(_xlfn.XLOOKUP(C846, ABZ!A:A, ABZ!B:B, "", 0) = 0, "", _xlfn.XLOOKUP(C846, ABZ!A:A, ABZ!B:B, "", 0))</f>
        <v>SUP-TCO-KnowledgeManagement</v>
      </c>
      <c r="E846" t="s">
        <v>834</v>
      </c>
      <c r="F846" t="s">
        <v>529</v>
      </c>
      <c r="I846">
        <f t="shared" si="39"/>
        <v>1</v>
      </c>
      <c r="J846" t="s">
        <v>873</v>
      </c>
      <c r="K846">
        <v>136558</v>
      </c>
      <c r="L846" s="9">
        <v>46098</v>
      </c>
      <c r="M846" s="9">
        <v>46101</v>
      </c>
      <c r="N846" s="18">
        <f t="shared" ca="1" si="40"/>
        <v>3</v>
      </c>
      <c r="O846" s="9">
        <v>46100</v>
      </c>
      <c r="P846" s="9" t="str">
        <f t="shared" si="41"/>
        <v>❌ Nein</v>
      </c>
      <c r="Q846" t="s">
        <v>837</v>
      </c>
      <c r="S846" t="s">
        <v>840</v>
      </c>
      <c r="T846" t="s">
        <v>540</v>
      </c>
      <c r="U846" t="s">
        <v>682</v>
      </c>
    </row>
    <row r="847" spans="2:21" x14ac:dyDescent="0.25">
      <c r="B847" t="s">
        <v>397</v>
      </c>
      <c r="C847" t="s">
        <v>468</v>
      </c>
      <c r="D847" t="str">
        <f>IF(_xlfn.XLOOKUP(C847, ABZ!A:A, ABZ!B:B, "", 0) = 0, "", _xlfn.XLOOKUP(C847, ABZ!A:A, ABZ!B:B, "", 0))</f>
        <v>SUP-TCO-KnowledgeManagement</v>
      </c>
      <c r="E847" t="s">
        <v>834</v>
      </c>
      <c r="F847" t="s">
        <v>529</v>
      </c>
      <c r="I847">
        <f t="shared" si="39"/>
        <v>1</v>
      </c>
      <c r="J847" t="s">
        <v>873</v>
      </c>
      <c r="K847">
        <v>136558</v>
      </c>
      <c r="L847" s="9">
        <v>46098</v>
      </c>
      <c r="M847" s="9">
        <v>46101</v>
      </c>
      <c r="N847" s="18">
        <f t="shared" ca="1" si="40"/>
        <v>3</v>
      </c>
      <c r="O847" s="9">
        <v>46100</v>
      </c>
      <c r="P847" s="9" t="str">
        <f t="shared" si="41"/>
        <v>❌ Nein</v>
      </c>
      <c r="Q847" t="s">
        <v>837</v>
      </c>
      <c r="S847" t="s">
        <v>840</v>
      </c>
      <c r="T847" t="s">
        <v>540</v>
      </c>
      <c r="U847" t="s">
        <v>682</v>
      </c>
    </row>
    <row r="848" spans="2:21" x14ac:dyDescent="0.25">
      <c r="B848" t="s">
        <v>398</v>
      </c>
      <c r="C848" t="s">
        <v>520</v>
      </c>
      <c r="D848" t="str">
        <f>IF(_xlfn.XLOOKUP(C848, ABZ!A:A, ABZ!B:B, "", 0) = 0, "", _xlfn.XLOOKUP(C848, ABZ!A:A, ABZ!B:B, "", 0))</f>
        <v>ENT-UIC-iOS</v>
      </c>
      <c r="E848" t="s">
        <v>834</v>
      </c>
      <c r="F848" t="s">
        <v>532</v>
      </c>
      <c r="I848">
        <f t="shared" si="39"/>
        <v>1</v>
      </c>
      <c r="J848" t="s">
        <v>873</v>
      </c>
      <c r="K848">
        <v>156982</v>
      </c>
      <c r="L848" s="9">
        <v>46099</v>
      </c>
      <c r="M848" s="9">
        <v>46100</v>
      </c>
      <c r="N848" s="18">
        <f t="shared" ca="1" si="40"/>
        <v>1</v>
      </c>
      <c r="O848" s="9">
        <v>46100</v>
      </c>
      <c r="P848" s="9" t="str">
        <f t="shared" si="41"/>
        <v>✅ Ja</v>
      </c>
      <c r="Q848" t="s">
        <v>848</v>
      </c>
      <c r="S848" t="s">
        <v>838</v>
      </c>
      <c r="T848" t="s">
        <v>540</v>
      </c>
      <c r="U848" t="s">
        <v>683</v>
      </c>
    </row>
    <row r="849" spans="2:21" x14ac:dyDescent="0.25">
      <c r="B849" s="3" t="s">
        <v>399</v>
      </c>
      <c r="C849" t="s">
        <v>478</v>
      </c>
      <c r="D849" t="str">
        <f>IF(_xlfn.XLOOKUP(C849, ABZ!A:A, ABZ!B:B, "", 0) = 0, "", _xlfn.XLOOKUP(C849, ABZ!A:A, ABZ!B:B, "", 0))</f>
        <v>D2C-MarketingContent</v>
      </c>
      <c r="E849" t="s">
        <v>834</v>
      </c>
      <c r="F849" t="s">
        <v>529</v>
      </c>
      <c r="I849">
        <f t="shared" si="39"/>
        <v>0</v>
      </c>
      <c r="J849" t="s">
        <v>875</v>
      </c>
      <c r="L849" s="9">
        <v>46094</v>
      </c>
      <c r="M849" s="9">
        <v>46101</v>
      </c>
      <c r="N849" s="18">
        <f t="shared" ca="1" si="40"/>
        <v>7</v>
      </c>
      <c r="O849" s="9">
        <v>46101</v>
      </c>
      <c r="P849" s="9" t="str">
        <f t="shared" si="41"/>
        <v>✅ Ja</v>
      </c>
      <c r="Q849" t="s">
        <v>837</v>
      </c>
      <c r="S849" t="s">
        <v>841</v>
      </c>
      <c r="T849" t="s">
        <v>540</v>
      </c>
      <c r="U849" t="s">
        <v>642</v>
      </c>
    </row>
    <row r="850" spans="2:21" x14ac:dyDescent="0.25">
      <c r="B850" s="3" t="s">
        <v>399</v>
      </c>
      <c r="C850" t="s">
        <v>478</v>
      </c>
      <c r="D850" t="str">
        <f>IF(_xlfn.XLOOKUP(C850, ABZ!A:A, ABZ!B:B, "", 0) = 0, "", _xlfn.XLOOKUP(C850, ABZ!A:A, ABZ!B:B, "", 0))</f>
        <v>D2C-MarketingContent</v>
      </c>
      <c r="E850" t="s">
        <v>834</v>
      </c>
      <c r="F850" t="s">
        <v>528</v>
      </c>
      <c r="I850">
        <f t="shared" si="39"/>
        <v>0</v>
      </c>
      <c r="J850" t="s">
        <v>875</v>
      </c>
      <c r="L850" s="9">
        <v>46094</v>
      </c>
      <c r="M850" s="9">
        <v>46101</v>
      </c>
      <c r="N850" s="18">
        <f t="shared" ca="1" si="40"/>
        <v>7</v>
      </c>
      <c r="O850" s="9">
        <v>46101</v>
      </c>
      <c r="P850" s="9" t="str">
        <f t="shared" si="41"/>
        <v>✅ Ja</v>
      </c>
      <c r="Q850" t="s">
        <v>841</v>
      </c>
      <c r="S850" t="s">
        <v>841</v>
      </c>
      <c r="T850" t="s">
        <v>540</v>
      </c>
      <c r="U850" t="s">
        <v>642</v>
      </c>
    </row>
    <row r="851" spans="2:21" x14ac:dyDescent="0.25">
      <c r="B851" s="3" t="s">
        <v>399</v>
      </c>
      <c r="C851" t="s">
        <v>478</v>
      </c>
      <c r="D851" t="str">
        <f>IF(_xlfn.XLOOKUP(C851, ABZ!A:A, ABZ!B:B, "", 0) = 0, "", _xlfn.XLOOKUP(C851, ABZ!A:A, ABZ!B:B, "", 0))</f>
        <v>D2C-MarketingContent</v>
      </c>
      <c r="E851" t="s">
        <v>834</v>
      </c>
      <c r="F851" t="s">
        <v>527</v>
      </c>
      <c r="I851">
        <f t="shared" si="39"/>
        <v>0</v>
      </c>
      <c r="J851" t="s">
        <v>875</v>
      </c>
      <c r="L851" s="9">
        <v>46094</v>
      </c>
      <c r="M851" s="9">
        <v>46101</v>
      </c>
      <c r="N851" s="18">
        <f t="shared" ca="1" si="40"/>
        <v>7</v>
      </c>
      <c r="O851" s="9">
        <v>46101</v>
      </c>
      <c r="P851" s="9" t="str">
        <f t="shared" si="41"/>
        <v>✅ Ja</v>
      </c>
      <c r="Q851" t="s">
        <v>836</v>
      </c>
      <c r="S851" t="s">
        <v>841</v>
      </c>
      <c r="T851" t="s">
        <v>540</v>
      </c>
      <c r="U851" t="s">
        <v>642</v>
      </c>
    </row>
    <row r="852" spans="2:21" x14ac:dyDescent="0.25">
      <c r="B852" s="3" t="s">
        <v>399</v>
      </c>
      <c r="C852" t="s">
        <v>478</v>
      </c>
      <c r="D852" t="str">
        <f>IF(_xlfn.XLOOKUP(C852, ABZ!A:A, ABZ!B:B, "", 0) = 0, "", _xlfn.XLOOKUP(C852, ABZ!A:A, ABZ!B:B, "", 0))</f>
        <v>D2C-MarketingContent</v>
      </c>
      <c r="E852" t="s">
        <v>834</v>
      </c>
      <c r="F852" t="s">
        <v>531</v>
      </c>
      <c r="I852">
        <f t="shared" si="39"/>
        <v>0</v>
      </c>
      <c r="J852" t="s">
        <v>875</v>
      </c>
      <c r="L852" s="9">
        <v>46094</v>
      </c>
      <c r="M852" s="9">
        <v>46101</v>
      </c>
      <c r="N852" s="18">
        <f t="shared" ca="1" si="40"/>
        <v>7</v>
      </c>
      <c r="O852" s="9">
        <v>46101</v>
      </c>
      <c r="P852" s="9" t="str">
        <f t="shared" si="41"/>
        <v>✅ Ja</v>
      </c>
      <c r="Q852" t="s">
        <v>840</v>
      </c>
      <c r="S852" t="s">
        <v>841</v>
      </c>
      <c r="T852" t="s">
        <v>540</v>
      </c>
      <c r="U852" t="s">
        <v>642</v>
      </c>
    </row>
    <row r="853" spans="2:21" x14ac:dyDescent="0.25">
      <c r="B853" s="3" t="s">
        <v>399</v>
      </c>
      <c r="C853" t="s">
        <v>478</v>
      </c>
      <c r="D853" t="str">
        <f>IF(_xlfn.XLOOKUP(C853, ABZ!A:A, ABZ!B:B, "", 0) = 0, "", _xlfn.XLOOKUP(C853, ABZ!A:A, ABZ!B:B, "", 0))</f>
        <v>D2C-MarketingContent</v>
      </c>
      <c r="E853" t="s">
        <v>834</v>
      </c>
      <c r="F853" t="s">
        <v>530</v>
      </c>
      <c r="I853">
        <f t="shared" si="39"/>
        <v>0</v>
      </c>
      <c r="J853" t="s">
        <v>875</v>
      </c>
      <c r="L853" s="9">
        <v>46094</v>
      </c>
      <c r="M853" s="9">
        <v>46101</v>
      </c>
      <c r="N853" s="18">
        <f t="shared" ca="1" si="40"/>
        <v>7</v>
      </c>
      <c r="O853" s="9">
        <v>46101</v>
      </c>
      <c r="P853" s="9" t="str">
        <f t="shared" si="41"/>
        <v>✅ Ja</v>
      </c>
      <c r="Q853" t="s">
        <v>844</v>
      </c>
      <c r="S853" t="s">
        <v>841</v>
      </c>
      <c r="T853" t="s">
        <v>540</v>
      </c>
      <c r="U853" t="s">
        <v>642</v>
      </c>
    </row>
    <row r="854" spans="2:21" x14ac:dyDescent="0.25">
      <c r="B854" s="3" t="s">
        <v>399</v>
      </c>
      <c r="C854" t="s">
        <v>478</v>
      </c>
      <c r="D854" t="str">
        <f>IF(_xlfn.XLOOKUP(C854, ABZ!A:A, ABZ!B:B, "", 0) = 0, "", _xlfn.XLOOKUP(C854, ABZ!A:A, ABZ!B:B, "", 0))</f>
        <v>D2C-MarketingContent</v>
      </c>
      <c r="E854" t="s">
        <v>834</v>
      </c>
      <c r="F854" t="s">
        <v>535</v>
      </c>
      <c r="I854">
        <f t="shared" si="39"/>
        <v>0</v>
      </c>
      <c r="J854" t="s">
        <v>875</v>
      </c>
      <c r="L854" s="9">
        <v>46094</v>
      </c>
      <c r="M854" s="9">
        <v>46101</v>
      </c>
      <c r="N854" s="18">
        <f t="shared" ca="1" si="40"/>
        <v>7</v>
      </c>
      <c r="O854" s="9">
        <v>46101</v>
      </c>
      <c r="P854" s="9" t="str">
        <f t="shared" si="41"/>
        <v>✅ Ja</v>
      </c>
      <c r="Q854" t="s">
        <v>842</v>
      </c>
      <c r="S854" t="s">
        <v>841</v>
      </c>
      <c r="T854" t="s">
        <v>540</v>
      </c>
      <c r="U854" t="s">
        <v>642</v>
      </c>
    </row>
    <row r="855" spans="2:21" x14ac:dyDescent="0.25">
      <c r="B855" s="3" t="s">
        <v>400</v>
      </c>
      <c r="C855" t="s">
        <v>521</v>
      </c>
      <c r="D855" t="str">
        <f>IF(_xlfn.XLOOKUP(C855, ABZ!A:A, ABZ!B:B, "", 0) = 0, "", _xlfn.XLOOKUP(C855, ABZ!A:A, ABZ!B:B, "", 0))</f>
        <v>D2C-MarketingContent</v>
      </c>
      <c r="E855" t="s">
        <v>834</v>
      </c>
      <c r="F855" t="s">
        <v>528</v>
      </c>
      <c r="I855">
        <f t="shared" si="39"/>
        <v>0</v>
      </c>
      <c r="J855" t="s">
        <v>875</v>
      </c>
      <c r="L855" s="9">
        <v>46098</v>
      </c>
      <c r="M855" s="9">
        <v>46104</v>
      </c>
      <c r="N855" s="18">
        <f t="shared" ca="1" si="40"/>
        <v>6</v>
      </c>
      <c r="O855" s="9">
        <v>46105</v>
      </c>
      <c r="P855" s="9" t="str">
        <f t="shared" si="41"/>
        <v>✅ Ja</v>
      </c>
      <c r="Q855" t="s">
        <v>847</v>
      </c>
      <c r="R855" t="s">
        <v>841</v>
      </c>
      <c r="S855" t="s">
        <v>841</v>
      </c>
      <c r="T855" t="s">
        <v>540</v>
      </c>
      <c r="U855" t="s">
        <v>642</v>
      </c>
    </row>
    <row r="856" spans="2:21" x14ac:dyDescent="0.25">
      <c r="B856" s="3" t="s">
        <v>401</v>
      </c>
      <c r="C856" t="s">
        <v>521</v>
      </c>
      <c r="D856" t="str">
        <f>IF(_xlfn.XLOOKUP(C856, ABZ!A:A, ABZ!B:B, "", 0) = 0, "", _xlfn.XLOOKUP(C856, ABZ!A:A, ABZ!B:B, "", 0))</f>
        <v>D2C-MarketingContent</v>
      </c>
      <c r="E856" t="s">
        <v>834</v>
      </c>
      <c r="F856" t="s">
        <v>528</v>
      </c>
      <c r="I856">
        <f t="shared" si="39"/>
        <v>1</v>
      </c>
      <c r="J856" t="s">
        <v>875</v>
      </c>
      <c r="L856" s="9">
        <v>46099</v>
      </c>
      <c r="M856" s="9">
        <v>46101</v>
      </c>
      <c r="N856" s="18">
        <f t="shared" ca="1" si="40"/>
        <v>2</v>
      </c>
      <c r="O856" s="9">
        <v>46101</v>
      </c>
      <c r="P856" s="9" t="str">
        <f t="shared" si="41"/>
        <v>✅ Ja</v>
      </c>
      <c r="Q856" t="s">
        <v>847</v>
      </c>
      <c r="R856" t="s">
        <v>841</v>
      </c>
      <c r="S856" t="s">
        <v>841</v>
      </c>
      <c r="T856" t="s">
        <v>540</v>
      </c>
      <c r="U856" t="s">
        <v>642</v>
      </c>
    </row>
    <row r="857" spans="2:21" x14ac:dyDescent="0.25">
      <c r="B857" s="3" t="s">
        <v>401</v>
      </c>
      <c r="C857" t="s">
        <v>521</v>
      </c>
      <c r="D857" t="str">
        <f>IF(_xlfn.XLOOKUP(C857, ABZ!A:A, ABZ!B:B, "", 0) = 0, "", _xlfn.XLOOKUP(C857, ABZ!A:A, ABZ!B:B, "", 0))</f>
        <v>D2C-MarketingContent</v>
      </c>
      <c r="E857" t="s">
        <v>834</v>
      </c>
      <c r="F857" t="s">
        <v>527</v>
      </c>
      <c r="I857">
        <f t="shared" si="39"/>
        <v>1</v>
      </c>
      <c r="J857" t="s">
        <v>875</v>
      </c>
      <c r="L857" s="9">
        <v>46099</v>
      </c>
      <c r="M857" s="9">
        <v>46101</v>
      </c>
      <c r="N857" s="18">
        <f t="shared" ca="1" si="40"/>
        <v>2</v>
      </c>
      <c r="O857" s="9">
        <v>46101</v>
      </c>
      <c r="P857" s="9" t="str">
        <f t="shared" si="41"/>
        <v>✅ Ja</v>
      </c>
      <c r="Q857" t="s">
        <v>836</v>
      </c>
      <c r="S857" t="s">
        <v>841</v>
      </c>
      <c r="T857" t="s">
        <v>540</v>
      </c>
      <c r="U857" t="s">
        <v>642</v>
      </c>
    </row>
    <row r="858" spans="2:21" x14ac:dyDescent="0.25">
      <c r="B858" s="3" t="s">
        <v>401</v>
      </c>
      <c r="C858" t="s">
        <v>521</v>
      </c>
      <c r="D858" t="str">
        <f>IF(_xlfn.XLOOKUP(C858, ABZ!A:A, ABZ!B:B, "", 0) = 0, "", _xlfn.XLOOKUP(C858, ABZ!A:A, ABZ!B:B, "", 0))</f>
        <v>D2C-MarketingContent</v>
      </c>
      <c r="E858" t="s">
        <v>834</v>
      </c>
      <c r="F858" t="s">
        <v>530</v>
      </c>
      <c r="I858">
        <f t="shared" si="39"/>
        <v>1</v>
      </c>
      <c r="J858" t="s">
        <v>875</v>
      </c>
      <c r="L858" s="9">
        <v>46099</v>
      </c>
      <c r="M858" s="9">
        <v>46101</v>
      </c>
      <c r="N858" s="18">
        <f t="shared" ca="1" si="40"/>
        <v>2</v>
      </c>
      <c r="O858" s="9">
        <v>46101</v>
      </c>
      <c r="P858" s="9" t="str">
        <f t="shared" si="41"/>
        <v>✅ Ja</v>
      </c>
      <c r="Q858" t="s">
        <v>839</v>
      </c>
      <c r="S858" t="s">
        <v>841</v>
      </c>
      <c r="T858" t="s">
        <v>540</v>
      </c>
      <c r="U858" t="s">
        <v>642</v>
      </c>
    </row>
    <row r="859" spans="2:21" x14ac:dyDescent="0.25">
      <c r="B859" t="s">
        <v>402</v>
      </c>
      <c r="C859" t="s">
        <v>468</v>
      </c>
      <c r="D859" t="str">
        <f>IF(_xlfn.XLOOKUP(C859, ABZ!A:A, ABZ!B:B, "", 0) = 0, "", _xlfn.XLOOKUP(C859, ABZ!A:A, ABZ!B:B, "", 0))</f>
        <v>SUP-TCO-KnowledgeManagement</v>
      </c>
      <c r="E859" t="s">
        <v>834</v>
      </c>
      <c r="F859" t="s">
        <v>528</v>
      </c>
      <c r="I859">
        <f t="shared" si="39"/>
        <v>1</v>
      </c>
      <c r="L859" s="9">
        <v>46101</v>
      </c>
      <c r="M859" s="9">
        <v>46101</v>
      </c>
      <c r="N859" s="18">
        <f t="shared" ca="1" si="40"/>
        <v>0</v>
      </c>
      <c r="O859" s="9">
        <v>46101</v>
      </c>
      <c r="P859" s="9" t="str">
        <f t="shared" si="41"/>
        <v>✅ Ja</v>
      </c>
      <c r="Q859" t="s">
        <v>841</v>
      </c>
      <c r="S859" t="s">
        <v>840</v>
      </c>
      <c r="T859" t="s">
        <v>540</v>
      </c>
      <c r="U859" t="s">
        <v>622</v>
      </c>
    </row>
    <row r="860" spans="2:21" x14ac:dyDescent="0.25">
      <c r="B860" t="s">
        <v>403</v>
      </c>
      <c r="C860" t="s">
        <v>468</v>
      </c>
      <c r="D860" t="str">
        <f>IF(_xlfn.XLOOKUP(C860, ABZ!A:A, ABZ!B:B, "", 0) = 0, "", _xlfn.XLOOKUP(C860, ABZ!A:A, ABZ!B:B, "", 0))</f>
        <v>SUP-TCO-KnowledgeManagement</v>
      </c>
      <c r="E860" t="s">
        <v>834</v>
      </c>
      <c r="F860" t="s">
        <v>530</v>
      </c>
      <c r="I860">
        <f t="shared" si="39"/>
        <v>1</v>
      </c>
      <c r="L860" s="9">
        <v>46101</v>
      </c>
      <c r="M860" s="9">
        <v>46101</v>
      </c>
      <c r="N860" s="18">
        <f t="shared" ca="1" si="40"/>
        <v>0</v>
      </c>
      <c r="O860" s="9">
        <v>46101</v>
      </c>
      <c r="P860" s="9" t="str">
        <f t="shared" si="41"/>
        <v>✅ Ja</v>
      </c>
      <c r="Q860" t="s">
        <v>839</v>
      </c>
      <c r="S860" t="s">
        <v>840</v>
      </c>
      <c r="T860" t="s">
        <v>540</v>
      </c>
      <c r="U860" t="s">
        <v>622</v>
      </c>
    </row>
    <row r="861" spans="2:21" x14ac:dyDescent="0.25">
      <c r="B861" t="s">
        <v>404</v>
      </c>
      <c r="C861" t="s">
        <v>468</v>
      </c>
      <c r="D861" t="str">
        <f>IF(_xlfn.XLOOKUP(C861, ABZ!A:A, ABZ!B:B, "", 0) = 0, "", _xlfn.XLOOKUP(C861, ABZ!A:A, ABZ!B:B, "", 0))</f>
        <v>SUP-TCO-KnowledgeManagement</v>
      </c>
      <c r="E861" t="s">
        <v>834</v>
      </c>
      <c r="F861" t="s">
        <v>530</v>
      </c>
      <c r="I861">
        <f t="shared" si="39"/>
        <v>1</v>
      </c>
      <c r="L861" s="9">
        <v>46101</v>
      </c>
      <c r="M861" s="9">
        <v>46101</v>
      </c>
      <c r="N861" s="18">
        <f t="shared" ca="1" si="40"/>
        <v>0</v>
      </c>
      <c r="O861" s="9">
        <v>46101</v>
      </c>
      <c r="P861" s="9" t="str">
        <f t="shared" si="41"/>
        <v>✅ Ja</v>
      </c>
      <c r="Q861" t="s">
        <v>839</v>
      </c>
      <c r="S861" t="s">
        <v>840</v>
      </c>
      <c r="T861" t="s">
        <v>540</v>
      </c>
      <c r="U861" t="s">
        <v>622</v>
      </c>
    </row>
    <row r="862" spans="2:21" x14ac:dyDescent="0.25">
      <c r="B862" t="s">
        <v>405</v>
      </c>
      <c r="C862" t="s">
        <v>468</v>
      </c>
      <c r="D862" t="str">
        <f>IF(_xlfn.XLOOKUP(C862, ABZ!A:A, ABZ!B:B, "", 0) = 0, "", _xlfn.XLOOKUP(C862, ABZ!A:A, ABZ!B:B, "", 0))</f>
        <v>SUP-TCO-KnowledgeManagement</v>
      </c>
      <c r="E862" t="s">
        <v>834</v>
      </c>
      <c r="F862" t="s">
        <v>527</v>
      </c>
      <c r="I862">
        <f t="shared" si="39"/>
        <v>1</v>
      </c>
      <c r="L862" s="9">
        <v>46101</v>
      </c>
      <c r="M862" s="9">
        <v>46101</v>
      </c>
      <c r="N862" s="18">
        <f t="shared" ca="1" si="40"/>
        <v>0</v>
      </c>
      <c r="O862" s="9">
        <v>46101</v>
      </c>
      <c r="P862" s="9" t="str">
        <f t="shared" si="41"/>
        <v>✅ Ja</v>
      </c>
      <c r="Q862" t="s">
        <v>836</v>
      </c>
      <c r="S862" t="s">
        <v>840</v>
      </c>
      <c r="T862" t="s">
        <v>540</v>
      </c>
      <c r="U862" t="s">
        <v>622</v>
      </c>
    </row>
    <row r="863" spans="2:21" x14ac:dyDescent="0.25">
      <c r="B863" t="s">
        <v>406</v>
      </c>
      <c r="C863" t="s">
        <v>468</v>
      </c>
      <c r="D863" t="str">
        <f>IF(_xlfn.XLOOKUP(C863, ABZ!A:A, ABZ!B:B, "", 0) = 0, "", _xlfn.XLOOKUP(C863, ABZ!A:A, ABZ!B:B, "", 0))</f>
        <v>SUP-TCO-KnowledgeManagement</v>
      </c>
      <c r="E863" t="s">
        <v>834</v>
      </c>
      <c r="F863" t="s">
        <v>527</v>
      </c>
      <c r="I863">
        <f t="shared" si="39"/>
        <v>1</v>
      </c>
      <c r="L863" s="9">
        <v>46101</v>
      </c>
      <c r="M863" s="9">
        <v>46101</v>
      </c>
      <c r="N863" s="18">
        <f t="shared" ca="1" si="40"/>
        <v>0</v>
      </c>
      <c r="O863" s="9">
        <v>46101</v>
      </c>
      <c r="P863" s="9" t="str">
        <f t="shared" si="41"/>
        <v>✅ Ja</v>
      </c>
      <c r="Q863" t="s">
        <v>836</v>
      </c>
      <c r="S863" t="s">
        <v>840</v>
      </c>
      <c r="T863" t="s">
        <v>540</v>
      </c>
      <c r="U863" t="s">
        <v>622</v>
      </c>
    </row>
    <row r="864" spans="2:21" x14ac:dyDescent="0.25">
      <c r="B864" t="s">
        <v>407</v>
      </c>
      <c r="C864" t="s">
        <v>468</v>
      </c>
      <c r="D864" t="str">
        <f>IF(_xlfn.XLOOKUP(C864, ABZ!A:A, ABZ!B:B, "", 0) = 0, "", _xlfn.XLOOKUP(C864, ABZ!A:A, ABZ!B:B, "", 0))</f>
        <v>SUP-TCO-KnowledgeManagement</v>
      </c>
      <c r="E864" t="s">
        <v>834</v>
      </c>
      <c r="F864" t="s">
        <v>531</v>
      </c>
      <c r="I864">
        <f t="shared" si="39"/>
        <v>1</v>
      </c>
      <c r="L864" s="9">
        <v>46101</v>
      </c>
      <c r="M864" s="9">
        <v>46101</v>
      </c>
      <c r="N864" s="18">
        <f t="shared" ca="1" si="40"/>
        <v>0</v>
      </c>
      <c r="O864" s="9">
        <v>46101</v>
      </c>
      <c r="P864" s="9" t="str">
        <f t="shared" si="41"/>
        <v>✅ Ja</v>
      </c>
      <c r="Q864" t="s">
        <v>840</v>
      </c>
      <c r="S864" t="s">
        <v>840</v>
      </c>
      <c r="T864" t="s">
        <v>540</v>
      </c>
      <c r="U864" t="s">
        <v>622</v>
      </c>
    </row>
    <row r="865" spans="2:21" x14ac:dyDescent="0.25">
      <c r="B865" t="s">
        <v>408</v>
      </c>
      <c r="C865" t="s">
        <v>468</v>
      </c>
      <c r="D865" t="str">
        <f>IF(_xlfn.XLOOKUP(C865, ABZ!A:A, ABZ!B:B, "", 0) = 0, "", _xlfn.XLOOKUP(C865, ABZ!A:A, ABZ!B:B, "", 0))</f>
        <v>SUP-TCO-KnowledgeManagement</v>
      </c>
      <c r="E865" t="s">
        <v>834</v>
      </c>
      <c r="F865" t="s">
        <v>531</v>
      </c>
      <c r="I865">
        <f t="shared" si="39"/>
        <v>1</v>
      </c>
      <c r="L865" s="9">
        <v>46101</v>
      </c>
      <c r="M865" s="9">
        <v>46101</v>
      </c>
      <c r="N865" s="18">
        <f t="shared" ca="1" si="40"/>
        <v>0</v>
      </c>
      <c r="O865" s="9">
        <v>46101</v>
      </c>
      <c r="P865" s="9" t="str">
        <f t="shared" si="41"/>
        <v>✅ Ja</v>
      </c>
      <c r="Q865" t="s">
        <v>840</v>
      </c>
      <c r="S865" t="s">
        <v>840</v>
      </c>
      <c r="T865" t="s">
        <v>540</v>
      </c>
      <c r="U865" t="s">
        <v>622</v>
      </c>
    </row>
    <row r="866" spans="2:21" x14ac:dyDescent="0.25">
      <c r="B866" t="s">
        <v>409</v>
      </c>
      <c r="C866" t="s">
        <v>520</v>
      </c>
      <c r="D866" t="str">
        <f>IF(_xlfn.XLOOKUP(C866, ABZ!A:A, ABZ!B:B, "", 0) = 0, "", _xlfn.XLOOKUP(C866, ABZ!A:A, ABZ!B:B, "", 0))</f>
        <v>ENT-UIC-iOS</v>
      </c>
      <c r="E866" t="s">
        <v>834</v>
      </c>
      <c r="F866" t="s">
        <v>530</v>
      </c>
      <c r="I866">
        <f t="shared" si="39"/>
        <v>0</v>
      </c>
      <c r="J866" t="s">
        <v>873</v>
      </c>
      <c r="K866">
        <v>156982</v>
      </c>
      <c r="L866" s="9">
        <v>46101</v>
      </c>
      <c r="M866" s="9">
        <v>46106</v>
      </c>
      <c r="N866" s="18">
        <f t="shared" ca="1" si="40"/>
        <v>5</v>
      </c>
      <c r="O866" s="9">
        <v>46106</v>
      </c>
      <c r="P866" s="9" t="str">
        <f t="shared" si="41"/>
        <v>✅ Ja</v>
      </c>
      <c r="Q866" t="s">
        <v>844</v>
      </c>
      <c r="R866" t="s">
        <v>839</v>
      </c>
      <c r="S866" t="s">
        <v>838</v>
      </c>
      <c r="T866" t="s">
        <v>540</v>
      </c>
      <c r="U866" t="s">
        <v>684</v>
      </c>
    </row>
    <row r="867" spans="2:21" x14ac:dyDescent="0.25">
      <c r="B867" t="s">
        <v>409</v>
      </c>
      <c r="C867" t="s">
        <v>520</v>
      </c>
      <c r="D867" t="str">
        <f>IF(_xlfn.XLOOKUP(C867, ABZ!A:A, ABZ!B:B, "", 0) = 0, "", _xlfn.XLOOKUP(C867, ABZ!A:A, ABZ!B:B, "", 0))</f>
        <v>ENT-UIC-iOS</v>
      </c>
      <c r="E867" t="s">
        <v>834</v>
      </c>
      <c r="F867" t="s">
        <v>531</v>
      </c>
      <c r="I867">
        <f t="shared" si="39"/>
        <v>0</v>
      </c>
      <c r="J867" t="s">
        <v>873</v>
      </c>
      <c r="K867">
        <v>156982</v>
      </c>
      <c r="L867" s="9">
        <v>46101</v>
      </c>
      <c r="M867" s="9">
        <v>46106</v>
      </c>
      <c r="N867" s="18">
        <f t="shared" ca="1" si="40"/>
        <v>5</v>
      </c>
      <c r="O867" s="9">
        <v>46106</v>
      </c>
      <c r="P867" s="9" t="str">
        <f t="shared" si="41"/>
        <v>✅ Ja</v>
      </c>
      <c r="Q867" t="s">
        <v>843</v>
      </c>
      <c r="S867" t="s">
        <v>838</v>
      </c>
      <c r="T867" t="s">
        <v>540</v>
      </c>
      <c r="U867" t="s">
        <v>685</v>
      </c>
    </row>
    <row r="868" spans="2:21" x14ac:dyDescent="0.25">
      <c r="B868" t="s">
        <v>409</v>
      </c>
      <c r="C868" t="s">
        <v>520</v>
      </c>
      <c r="D868" t="str">
        <f>IF(_xlfn.XLOOKUP(C868, ABZ!A:A, ABZ!B:B, "", 0) = 0, "", _xlfn.XLOOKUP(C868, ABZ!A:A, ABZ!B:B, "", 0))</f>
        <v>ENT-UIC-iOS</v>
      </c>
      <c r="E868" t="s">
        <v>834</v>
      </c>
      <c r="F868" t="s">
        <v>528</v>
      </c>
      <c r="I868">
        <f t="shared" si="39"/>
        <v>0</v>
      </c>
      <c r="J868" t="s">
        <v>873</v>
      </c>
      <c r="K868">
        <v>156982</v>
      </c>
      <c r="L868" s="9">
        <v>46101</v>
      </c>
      <c r="M868" s="9">
        <v>46106</v>
      </c>
      <c r="N868" s="18">
        <f t="shared" ca="1" si="40"/>
        <v>5</v>
      </c>
      <c r="O868" s="9">
        <v>46106</v>
      </c>
      <c r="P868" s="9" t="str">
        <f t="shared" si="41"/>
        <v>✅ Ja</v>
      </c>
      <c r="Q868" t="s">
        <v>841</v>
      </c>
      <c r="S868" t="s">
        <v>838</v>
      </c>
      <c r="T868" t="s">
        <v>540</v>
      </c>
      <c r="U868" t="s">
        <v>686</v>
      </c>
    </row>
    <row r="869" spans="2:21" x14ac:dyDescent="0.25">
      <c r="B869" t="s">
        <v>409</v>
      </c>
      <c r="C869" t="s">
        <v>520</v>
      </c>
      <c r="D869" t="str">
        <f>IF(_xlfn.XLOOKUP(C869, ABZ!A:A, ABZ!B:B, "", 0) = 0, "", _xlfn.XLOOKUP(C869, ABZ!A:A, ABZ!B:B, "", 0))</f>
        <v>ENT-UIC-iOS</v>
      </c>
      <c r="E869" t="s">
        <v>834</v>
      </c>
      <c r="F869" t="s">
        <v>527</v>
      </c>
      <c r="I869">
        <f t="shared" si="39"/>
        <v>0</v>
      </c>
      <c r="J869" t="s">
        <v>873</v>
      </c>
      <c r="K869">
        <v>156982</v>
      </c>
      <c r="L869" s="9">
        <v>46101</v>
      </c>
      <c r="M869" s="9">
        <v>46106</v>
      </c>
      <c r="N869" s="18">
        <f t="shared" ca="1" si="40"/>
        <v>5</v>
      </c>
      <c r="O869" s="9">
        <v>46106</v>
      </c>
      <c r="P869" s="9" t="str">
        <f t="shared" si="41"/>
        <v>✅ Ja</v>
      </c>
      <c r="Q869" t="s">
        <v>836</v>
      </c>
      <c r="S869" t="s">
        <v>838</v>
      </c>
      <c r="T869" t="s">
        <v>540</v>
      </c>
      <c r="U869" t="s">
        <v>687</v>
      </c>
    </row>
    <row r="870" spans="2:21" x14ac:dyDescent="0.25">
      <c r="B870" t="s">
        <v>409</v>
      </c>
      <c r="C870" t="s">
        <v>520</v>
      </c>
      <c r="D870" t="str">
        <f>IF(_xlfn.XLOOKUP(C870, ABZ!A:A, ABZ!B:B, "", 0) = 0, "", _xlfn.XLOOKUP(C870, ABZ!A:A, ABZ!B:B, "", 0))</f>
        <v>ENT-UIC-iOS</v>
      </c>
      <c r="E870" t="s">
        <v>834</v>
      </c>
      <c r="F870" t="s">
        <v>535</v>
      </c>
      <c r="I870">
        <f t="shared" si="39"/>
        <v>0</v>
      </c>
      <c r="J870" t="s">
        <v>873</v>
      </c>
      <c r="K870">
        <v>156982</v>
      </c>
      <c r="L870" s="9">
        <v>46101</v>
      </c>
      <c r="M870" s="9">
        <v>46106</v>
      </c>
      <c r="N870" s="18">
        <f t="shared" ca="1" si="40"/>
        <v>5</v>
      </c>
      <c r="O870" s="9">
        <v>46106</v>
      </c>
      <c r="P870" s="9" t="str">
        <f t="shared" si="41"/>
        <v>✅ Ja</v>
      </c>
      <c r="Q870" t="s">
        <v>842</v>
      </c>
      <c r="S870" t="s">
        <v>838</v>
      </c>
      <c r="T870" t="s">
        <v>540</v>
      </c>
      <c r="U870" t="s">
        <v>688</v>
      </c>
    </row>
    <row r="871" spans="2:21" x14ac:dyDescent="0.25">
      <c r="B871" t="s">
        <v>409</v>
      </c>
      <c r="C871" t="s">
        <v>520</v>
      </c>
      <c r="D871" t="str">
        <f>IF(_xlfn.XLOOKUP(C871, ABZ!A:A, ABZ!B:B, "", 0) = 0, "", _xlfn.XLOOKUP(C871, ABZ!A:A, ABZ!B:B, "", 0))</f>
        <v>ENT-UIC-iOS</v>
      </c>
      <c r="E871" t="s">
        <v>834</v>
      </c>
      <c r="F871" t="s">
        <v>538</v>
      </c>
      <c r="I871">
        <f t="shared" si="39"/>
        <v>0</v>
      </c>
      <c r="J871" t="s">
        <v>873</v>
      </c>
      <c r="K871">
        <v>156982</v>
      </c>
      <c r="L871" s="9">
        <v>46101</v>
      </c>
      <c r="M871" s="9">
        <v>46106</v>
      </c>
      <c r="N871" s="18">
        <f t="shared" ca="1" si="40"/>
        <v>5</v>
      </c>
      <c r="O871" s="9">
        <v>46106</v>
      </c>
      <c r="P871" s="9" t="str">
        <f t="shared" si="41"/>
        <v>✅ Ja</v>
      </c>
      <c r="Q871" t="s">
        <v>842</v>
      </c>
      <c r="S871" t="s">
        <v>838</v>
      </c>
      <c r="T871" t="s">
        <v>540</v>
      </c>
      <c r="U871" t="s">
        <v>689</v>
      </c>
    </row>
    <row r="872" spans="2:21" x14ac:dyDescent="0.25">
      <c r="B872" t="s">
        <v>409</v>
      </c>
      <c r="C872" t="s">
        <v>520</v>
      </c>
      <c r="D872" t="str">
        <f>IF(_xlfn.XLOOKUP(C872, ABZ!A:A, ABZ!B:B, "", 0) = 0, "", _xlfn.XLOOKUP(C872, ABZ!A:A, ABZ!B:B, "", 0))</f>
        <v>ENT-UIC-iOS</v>
      </c>
      <c r="E872" t="s">
        <v>834</v>
      </c>
      <c r="F872" t="s">
        <v>529</v>
      </c>
      <c r="I872">
        <f t="shared" si="39"/>
        <v>0</v>
      </c>
      <c r="J872" t="s">
        <v>873</v>
      </c>
      <c r="K872">
        <v>156982</v>
      </c>
      <c r="L872" s="9">
        <v>46101</v>
      </c>
      <c r="M872" s="9">
        <v>46106</v>
      </c>
      <c r="N872" s="18">
        <f t="shared" ca="1" si="40"/>
        <v>5</v>
      </c>
      <c r="O872" s="9">
        <v>46106</v>
      </c>
      <c r="P872" s="9" t="str">
        <f t="shared" si="41"/>
        <v>✅ Ja</v>
      </c>
      <c r="Q872" t="s">
        <v>846</v>
      </c>
      <c r="S872" t="s">
        <v>838</v>
      </c>
      <c r="T872" t="s">
        <v>540</v>
      </c>
      <c r="U872" t="s">
        <v>690</v>
      </c>
    </row>
    <row r="873" spans="2:21" x14ac:dyDescent="0.25">
      <c r="B873" t="s">
        <v>410</v>
      </c>
      <c r="C873" t="s">
        <v>468</v>
      </c>
      <c r="D873" t="str">
        <f>IF(_xlfn.XLOOKUP(C873, ABZ!A:A, ABZ!B:B, "", 0) = 0, "", _xlfn.XLOOKUP(C873, ABZ!A:A, ABZ!B:B, "", 0))</f>
        <v>SUP-TCO-KnowledgeManagement</v>
      </c>
      <c r="E873" t="s">
        <v>834</v>
      </c>
      <c r="F873" t="s">
        <v>531</v>
      </c>
      <c r="I873">
        <f t="shared" si="39"/>
        <v>0</v>
      </c>
      <c r="L873" s="9">
        <v>46101</v>
      </c>
      <c r="N873" s="18">
        <f t="shared" ca="1" si="40"/>
        <v>63</v>
      </c>
      <c r="O873" s="9">
        <v>46119</v>
      </c>
      <c r="P873" s="9" t="str">
        <f t="shared" si="41"/>
        <v>⏳ Offen</v>
      </c>
      <c r="Q873" t="s">
        <v>843</v>
      </c>
      <c r="S873" t="s">
        <v>840</v>
      </c>
      <c r="T873" t="s">
        <v>888</v>
      </c>
      <c r="U873" t="s">
        <v>622</v>
      </c>
    </row>
    <row r="874" spans="2:21" x14ac:dyDescent="0.25">
      <c r="B874" t="s">
        <v>411</v>
      </c>
      <c r="C874" t="s">
        <v>468</v>
      </c>
      <c r="D874" t="str">
        <f>IF(_xlfn.XLOOKUP(C874, ABZ!A:A, ABZ!B:B, "", 0) = 0, "", _xlfn.XLOOKUP(C874, ABZ!A:A, ABZ!B:B, "", 0))</f>
        <v>SUP-TCO-KnowledgeManagement</v>
      </c>
      <c r="E874" t="s">
        <v>834</v>
      </c>
      <c r="F874" t="s">
        <v>530</v>
      </c>
      <c r="I874">
        <f t="shared" si="39"/>
        <v>0</v>
      </c>
      <c r="L874" s="9">
        <v>46101</v>
      </c>
      <c r="N874" s="18">
        <f t="shared" ca="1" si="40"/>
        <v>63</v>
      </c>
      <c r="O874" s="9">
        <v>46119</v>
      </c>
      <c r="P874" s="9" t="str">
        <f t="shared" si="41"/>
        <v>⏳ Offen</v>
      </c>
      <c r="Q874" t="s">
        <v>844</v>
      </c>
      <c r="S874" t="s">
        <v>840</v>
      </c>
      <c r="T874" t="s">
        <v>888</v>
      </c>
      <c r="U874" t="s">
        <v>622</v>
      </c>
    </row>
    <row r="875" spans="2:21" x14ac:dyDescent="0.25">
      <c r="B875" t="s">
        <v>412</v>
      </c>
      <c r="C875" t="s">
        <v>468</v>
      </c>
      <c r="D875" t="str">
        <f>IF(_xlfn.XLOOKUP(C875, ABZ!A:A, ABZ!B:B, "", 0) = 0, "", _xlfn.XLOOKUP(C875, ABZ!A:A, ABZ!B:B, "", 0))</f>
        <v>SUP-TCO-KnowledgeManagement</v>
      </c>
      <c r="E875" t="s">
        <v>834</v>
      </c>
      <c r="F875" t="s">
        <v>528</v>
      </c>
      <c r="I875">
        <f t="shared" si="39"/>
        <v>0</v>
      </c>
      <c r="L875" s="9">
        <v>46101</v>
      </c>
      <c r="N875" s="18">
        <f t="shared" ca="1" si="40"/>
        <v>63</v>
      </c>
      <c r="O875" s="9">
        <v>46119</v>
      </c>
      <c r="P875" s="9" t="str">
        <f t="shared" si="41"/>
        <v>⏳ Offen</v>
      </c>
      <c r="Q875" t="s">
        <v>841</v>
      </c>
      <c r="S875" t="s">
        <v>840</v>
      </c>
      <c r="T875" t="s">
        <v>888</v>
      </c>
      <c r="U875" t="s">
        <v>622</v>
      </c>
    </row>
    <row r="876" spans="2:21" x14ac:dyDescent="0.25">
      <c r="B876" t="s">
        <v>413</v>
      </c>
      <c r="C876" t="s">
        <v>468</v>
      </c>
      <c r="D876" t="str">
        <f>IF(_xlfn.XLOOKUP(C876, ABZ!A:A, ABZ!B:B, "", 0) = 0, "", _xlfn.XLOOKUP(C876, ABZ!A:A, ABZ!B:B, "", 0))</f>
        <v>SUP-TCO-KnowledgeManagement</v>
      </c>
      <c r="E876" t="s">
        <v>834</v>
      </c>
      <c r="F876" t="s">
        <v>527</v>
      </c>
      <c r="I876">
        <f t="shared" si="39"/>
        <v>0</v>
      </c>
      <c r="L876" s="9">
        <v>46101</v>
      </c>
      <c r="N876" s="18">
        <f t="shared" ca="1" si="40"/>
        <v>63</v>
      </c>
      <c r="O876" s="9">
        <v>46119</v>
      </c>
      <c r="P876" s="9" t="str">
        <f t="shared" si="41"/>
        <v>⏳ Offen</v>
      </c>
      <c r="Q876" t="s">
        <v>836</v>
      </c>
      <c r="S876" t="s">
        <v>840</v>
      </c>
      <c r="T876" t="s">
        <v>888</v>
      </c>
      <c r="U876" t="s">
        <v>622</v>
      </c>
    </row>
    <row r="877" spans="2:21" x14ac:dyDescent="0.25">
      <c r="B877" t="s">
        <v>414</v>
      </c>
      <c r="C877" t="s">
        <v>468</v>
      </c>
      <c r="D877" t="str">
        <f>IF(_xlfn.XLOOKUP(C877, ABZ!A:A, ABZ!B:B, "", 0) = 0, "", _xlfn.XLOOKUP(C877, ABZ!A:A, ABZ!B:B, "", 0))</f>
        <v>SUP-TCO-KnowledgeManagement</v>
      </c>
      <c r="E877" t="s">
        <v>834</v>
      </c>
      <c r="F877" t="s">
        <v>529</v>
      </c>
      <c r="I877">
        <f t="shared" si="39"/>
        <v>0</v>
      </c>
      <c r="L877" s="9">
        <v>46101</v>
      </c>
      <c r="N877" s="18">
        <f t="shared" ca="1" si="40"/>
        <v>63</v>
      </c>
      <c r="O877" s="9">
        <v>46119</v>
      </c>
      <c r="P877" s="9" t="str">
        <f t="shared" si="41"/>
        <v>⏳ Offen</v>
      </c>
      <c r="Q877" t="s">
        <v>846</v>
      </c>
      <c r="S877" t="s">
        <v>840</v>
      </c>
      <c r="T877" t="s">
        <v>888</v>
      </c>
      <c r="U877" t="s">
        <v>622</v>
      </c>
    </row>
    <row r="878" spans="2:21" x14ac:dyDescent="0.25">
      <c r="B878" t="s">
        <v>415</v>
      </c>
      <c r="C878" t="s">
        <v>468</v>
      </c>
      <c r="D878" t="str">
        <f>IF(_xlfn.XLOOKUP(C878, ABZ!A:A, ABZ!B:B, "", 0) = 0, "", _xlfn.XLOOKUP(C878, ABZ!A:A, ABZ!B:B, "", 0))</f>
        <v>SUP-TCO-KnowledgeManagement</v>
      </c>
      <c r="E878" t="s">
        <v>834</v>
      </c>
      <c r="F878" t="s">
        <v>529</v>
      </c>
      <c r="I878">
        <f t="shared" si="39"/>
        <v>0</v>
      </c>
      <c r="L878" s="9">
        <v>46101</v>
      </c>
      <c r="N878" s="18">
        <f t="shared" ca="1" si="40"/>
        <v>63</v>
      </c>
      <c r="O878" s="9">
        <v>46119</v>
      </c>
      <c r="P878" s="9" t="str">
        <f t="shared" si="41"/>
        <v>⏳ Offen</v>
      </c>
      <c r="Q878" t="s">
        <v>846</v>
      </c>
      <c r="S878" t="s">
        <v>840</v>
      </c>
      <c r="T878" t="s">
        <v>888</v>
      </c>
      <c r="U878" t="s">
        <v>622</v>
      </c>
    </row>
    <row r="879" spans="2:21" x14ac:dyDescent="0.25">
      <c r="B879" s="3" t="s">
        <v>416</v>
      </c>
      <c r="C879" t="s">
        <v>466</v>
      </c>
      <c r="D879" t="str">
        <f>IF(_xlfn.XLOOKUP(C879, ABZ!A:A, ABZ!B:B, "", 0) = 0, "", _xlfn.XLOOKUP(C879, ABZ!A:A, ABZ!B:B, "", 0))</f>
        <v>VTR-CS-SER-PartnerCommunication</v>
      </c>
      <c r="E879" t="s">
        <v>834</v>
      </c>
      <c r="F879" t="s">
        <v>527</v>
      </c>
      <c r="I879">
        <f t="shared" si="39"/>
        <v>0</v>
      </c>
      <c r="J879" t="s">
        <v>875</v>
      </c>
      <c r="L879" s="9">
        <v>46104</v>
      </c>
      <c r="M879" s="9">
        <v>46107</v>
      </c>
      <c r="N879" s="18">
        <f t="shared" ca="1" si="40"/>
        <v>3</v>
      </c>
      <c r="O879" s="9">
        <v>46111</v>
      </c>
      <c r="P879" s="9" t="str">
        <f t="shared" si="41"/>
        <v>✅ Ja</v>
      </c>
      <c r="Q879" t="s">
        <v>836</v>
      </c>
      <c r="S879" t="s">
        <v>839</v>
      </c>
      <c r="T879" t="s">
        <v>540</v>
      </c>
      <c r="U879" t="s">
        <v>641</v>
      </c>
    </row>
    <row r="880" spans="2:21" x14ac:dyDescent="0.25">
      <c r="B880" s="3" t="s">
        <v>417</v>
      </c>
      <c r="C880" t="s">
        <v>472</v>
      </c>
      <c r="D880" t="str">
        <f>IF(_xlfn.XLOOKUP(C880, ABZ!A:A, ABZ!B:B, "", 0) = 0, "", _xlfn.XLOOKUP(C880, ABZ!A:A, ABZ!B:B, "", 0))</f>
        <v>D2C-MarketingContent</v>
      </c>
      <c r="E880" t="s">
        <v>834</v>
      </c>
      <c r="F880" t="s">
        <v>529</v>
      </c>
      <c r="I880">
        <f t="shared" si="39"/>
        <v>0</v>
      </c>
      <c r="J880" t="s">
        <v>875</v>
      </c>
      <c r="L880" s="9">
        <v>46101</v>
      </c>
      <c r="M880" s="9">
        <v>46105</v>
      </c>
      <c r="N880" s="18">
        <f t="shared" ca="1" si="40"/>
        <v>4</v>
      </c>
      <c r="O880" s="9">
        <v>46106</v>
      </c>
      <c r="P880" s="9" t="str">
        <f t="shared" si="41"/>
        <v>✅ Ja</v>
      </c>
      <c r="Q880" t="s">
        <v>846</v>
      </c>
      <c r="S880" t="s">
        <v>841</v>
      </c>
      <c r="T880" t="s">
        <v>540</v>
      </c>
      <c r="U880" t="s">
        <v>691</v>
      </c>
    </row>
    <row r="881" spans="2:21" x14ac:dyDescent="0.25">
      <c r="B881" s="3" t="s">
        <v>418</v>
      </c>
      <c r="C881" t="s">
        <v>472</v>
      </c>
      <c r="D881" t="str">
        <f>IF(_xlfn.XLOOKUP(C881, ABZ!A:A, ABZ!B:B, "", 0) = 0, "", _xlfn.XLOOKUP(C881, ABZ!A:A, ABZ!B:B, "", 0))</f>
        <v>D2C-MarketingContent</v>
      </c>
      <c r="E881" t="s">
        <v>834</v>
      </c>
      <c r="F881" t="s">
        <v>529</v>
      </c>
      <c r="I881">
        <f t="shared" si="39"/>
        <v>0</v>
      </c>
      <c r="J881" t="s">
        <v>875</v>
      </c>
      <c r="L881" s="9">
        <v>46101</v>
      </c>
      <c r="M881" s="9">
        <v>46105</v>
      </c>
      <c r="N881" s="18">
        <f t="shared" ca="1" si="40"/>
        <v>4</v>
      </c>
      <c r="O881" s="9">
        <v>46106</v>
      </c>
      <c r="P881" s="9" t="str">
        <f t="shared" si="41"/>
        <v>✅ Ja</v>
      </c>
      <c r="Q881" t="s">
        <v>846</v>
      </c>
      <c r="S881" t="s">
        <v>841</v>
      </c>
      <c r="T881" t="s">
        <v>540</v>
      </c>
      <c r="U881" t="s">
        <v>691</v>
      </c>
    </row>
    <row r="882" spans="2:21" x14ac:dyDescent="0.25">
      <c r="B882" s="3" t="s">
        <v>419</v>
      </c>
      <c r="C882" t="s">
        <v>480</v>
      </c>
      <c r="D882" t="str">
        <f>IF(_xlfn.XLOOKUP(C882, ABZ!A:A, ABZ!B:B, "", 0) = 0, "", _xlfn.XLOOKUP(C882, ABZ!A:A, ABZ!B:B, "", 0))</f>
        <v>D2C-MarketingContent</v>
      </c>
      <c r="E882" t="s">
        <v>834</v>
      </c>
      <c r="F882" t="s">
        <v>529</v>
      </c>
      <c r="I882">
        <f t="shared" si="39"/>
        <v>0</v>
      </c>
      <c r="J882" t="s">
        <v>875</v>
      </c>
      <c r="L882" s="9">
        <v>46101</v>
      </c>
      <c r="M882" s="9">
        <v>46111</v>
      </c>
      <c r="N882" s="18">
        <f t="shared" ca="1" si="40"/>
        <v>10</v>
      </c>
      <c r="O882" s="9">
        <v>46111</v>
      </c>
      <c r="P882" s="9" t="str">
        <f t="shared" si="41"/>
        <v>✅ Ja</v>
      </c>
      <c r="Q882" t="s">
        <v>845</v>
      </c>
      <c r="S882" t="s">
        <v>841</v>
      </c>
      <c r="T882" t="s">
        <v>540</v>
      </c>
      <c r="U882" t="s">
        <v>692</v>
      </c>
    </row>
    <row r="883" spans="2:21" x14ac:dyDescent="0.25">
      <c r="B883" s="3" t="s">
        <v>419</v>
      </c>
      <c r="C883" t="s">
        <v>480</v>
      </c>
      <c r="D883" t="str">
        <f>IF(_xlfn.XLOOKUP(C883, ABZ!A:A, ABZ!B:B, "", 0) = 0, "", _xlfn.XLOOKUP(C883, ABZ!A:A, ABZ!B:B, "", 0))</f>
        <v>D2C-MarketingContent</v>
      </c>
      <c r="E883" t="s">
        <v>834</v>
      </c>
      <c r="F883" t="s">
        <v>530</v>
      </c>
      <c r="I883">
        <f t="shared" si="39"/>
        <v>0</v>
      </c>
      <c r="J883" t="s">
        <v>875</v>
      </c>
      <c r="L883" s="9">
        <v>46101</v>
      </c>
      <c r="M883" s="9">
        <v>46112</v>
      </c>
      <c r="N883" s="18">
        <f t="shared" ca="1" si="40"/>
        <v>11</v>
      </c>
      <c r="O883" s="9">
        <v>46111</v>
      </c>
      <c r="P883" s="9" t="str">
        <f t="shared" si="41"/>
        <v>❌ Nein</v>
      </c>
      <c r="Q883" t="s">
        <v>839</v>
      </c>
      <c r="S883" t="s">
        <v>841</v>
      </c>
      <c r="T883" t="s">
        <v>540</v>
      </c>
      <c r="U883" t="s">
        <v>692</v>
      </c>
    </row>
    <row r="884" spans="2:21" x14ac:dyDescent="0.25">
      <c r="B884" s="3" t="s">
        <v>419</v>
      </c>
      <c r="C884" t="s">
        <v>480</v>
      </c>
      <c r="D884" t="str">
        <f>IF(_xlfn.XLOOKUP(C884, ABZ!A:A, ABZ!B:B, "", 0) = 0, "", _xlfn.XLOOKUP(C884, ABZ!A:A, ABZ!B:B, "", 0))</f>
        <v>D2C-MarketingContent</v>
      </c>
      <c r="E884" t="s">
        <v>834</v>
      </c>
      <c r="F884" t="s">
        <v>531</v>
      </c>
      <c r="I884">
        <f t="shared" si="39"/>
        <v>0</v>
      </c>
      <c r="J884" t="s">
        <v>875</v>
      </c>
      <c r="L884" s="9">
        <v>46101</v>
      </c>
      <c r="M884" s="9">
        <v>46111</v>
      </c>
      <c r="N884" s="18">
        <f t="shared" ca="1" si="40"/>
        <v>10</v>
      </c>
      <c r="O884" s="9">
        <v>46111</v>
      </c>
      <c r="P884" s="9" t="str">
        <f t="shared" si="41"/>
        <v>✅ Ja</v>
      </c>
      <c r="Q884" t="s">
        <v>843</v>
      </c>
      <c r="R884" t="s">
        <v>840</v>
      </c>
      <c r="S884" t="s">
        <v>841</v>
      </c>
      <c r="T884" t="s">
        <v>540</v>
      </c>
      <c r="U884" t="s">
        <v>692</v>
      </c>
    </row>
    <row r="885" spans="2:21" x14ac:dyDescent="0.25">
      <c r="B885" s="3" t="s">
        <v>419</v>
      </c>
      <c r="C885" t="s">
        <v>480</v>
      </c>
      <c r="D885" t="str">
        <f>IF(_xlfn.XLOOKUP(C885, ABZ!A:A, ABZ!B:B, "", 0) = 0, "", _xlfn.XLOOKUP(C885, ABZ!A:A, ABZ!B:B, "", 0))</f>
        <v>D2C-MarketingContent</v>
      </c>
      <c r="E885" t="s">
        <v>834</v>
      </c>
      <c r="F885" t="s">
        <v>528</v>
      </c>
      <c r="I885">
        <f t="shared" si="39"/>
        <v>0</v>
      </c>
      <c r="J885" t="s">
        <v>875</v>
      </c>
      <c r="L885" s="9">
        <v>46101</v>
      </c>
      <c r="M885" s="9">
        <v>46111</v>
      </c>
      <c r="N885" s="18">
        <f t="shared" ca="1" si="40"/>
        <v>10</v>
      </c>
      <c r="O885" s="9">
        <v>46111</v>
      </c>
      <c r="P885" s="9" t="str">
        <f t="shared" si="41"/>
        <v>✅ Ja</v>
      </c>
      <c r="Q885" t="s">
        <v>841</v>
      </c>
      <c r="S885" t="s">
        <v>841</v>
      </c>
      <c r="T885" t="s">
        <v>540</v>
      </c>
      <c r="U885" t="s">
        <v>692</v>
      </c>
    </row>
    <row r="886" spans="2:21" x14ac:dyDescent="0.25">
      <c r="B886" s="3" t="s">
        <v>419</v>
      </c>
      <c r="C886" t="s">
        <v>480</v>
      </c>
      <c r="D886" t="str">
        <f>IF(_xlfn.XLOOKUP(C886, ABZ!A:A, ABZ!B:B, "", 0) = 0, "", _xlfn.XLOOKUP(C886, ABZ!A:A, ABZ!B:B, "", 0))</f>
        <v>D2C-MarketingContent</v>
      </c>
      <c r="E886" t="s">
        <v>834</v>
      </c>
      <c r="F886" t="s">
        <v>527</v>
      </c>
      <c r="I886">
        <f t="shared" si="39"/>
        <v>0</v>
      </c>
      <c r="J886" t="s">
        <v>875</v>
      </c>
      <c r="L886" s="9">
        <v>46101</v>
      </c>
      <c r="M886" s="9">
        <v>46111</v>
      </c>
      <c r="N886" s="18">
        <f t="shared" ca="1" si="40"/>
        <v>10</v>
      </c>
      <c r="O886" s="9">
        <v>46111</v>
      </c>
      <c r="P886" s="9" t="str">
        <f t="shared" si="41"/>
        <v>✅ Ja</v>
      </c>
      <c r="Q886" t="s">
        <v>836</v>
      </c>
      <c r="S886" t="s">
        <v>841</v>
      </c>
      <c r="T886" t="s">
        <v>540</v>
      </c>
      <c r="U886" t="s">
        <v>692</v>
      </c>
    </row>
    <row r="887" spans="2:21" x14ac:dyDescent="0.25">
      <c r="B887" s="3" t="s">
        <v>420</v>
      </c>
      <c r="C887" t="s">
        <v>522</v>
      </c>
      <c r="D887" t="str">
        <f>IF(_xlfn.XLOOKUP(C887, ABZ!A:A, ABZ!B:B, "", 0) = 0, "", _xlfn.XLOOKUP(C887, ABZ!A:A, ABZ!B:B, "", 0))</f>
        <v>KOM-Online</v>
      </c>
      <c r="E887" t="s">
        <v>834</v>
      </c>
      <c r="F887" t="s">
        <v>529</v>
      </c>
      <c r="I887">
        <f t="shared" si="39"/>
        <v>1</v>
      </c>
      <c r="J887" t="s">
        <v>875</v>
      </c>
      <c r="L887" s="9">
        <v>46104</v>
      </c>
      <c r="M887" s="9">
        <v>46104</v>
      </c>
      <c r="N887" s="18">
        <f t="shared" ca="1" si="40"/>
        <v>0</v>
      </c>
      <c r="O887" s="9">
        <v>46105</v>
      </c>
      <c r="P887" s="9" t="str">
        <f t="shared" si="41"/>
        <v>✅ Ja</v>
      </c>
      <c r="Q887" t="s">
        <v>846</v>
      </c>
      <c r="R887" t="s">
        <v>845</v>
      </c>
      <c r="S887" t="s">
        <v>840</v>
      </c>
      <c r="T887" t="s">
        <v>540</v>
      </c>
      <c r="U887" t="s">
        <v>641</v>
      </c>
    </row>
    <row r="888" spans="2:21" x14ac:dyDescent="0.25">
      <c r="B888" s="3" t="s">
        <v>421</v>
      </c>
      <c r="C888" t="s">
        <v>460</v>
      </c>
      <c r="D888" t="str">
        <f>IF(_xlfn.XLOOKUP(C888, ABZ!A:A, ABZ!B:B, "", 0) = 0, "", _xlfn.XLOOKUP(C888, ABZ!A:A, ABZ!B:B, "", 0))</f>
        <v>ENT-PM-F-OS</v>
      </c>
      <c r="E888" t="s">
        <v>835</v>
      </c>
      <c r="F888" t="s">
        <v>532</v>
      </c>
      <c r="H888">
        <v>2</v>
      </c>
      <c r="I888">
        <f t="shared" si="39"/>
        <v>1</v>
      </c>
      <c r="J888" t="s">
        <v>875</v>
      </c>
      <c r="L888" s="9">
        <v>46098</v>
      </c>
      <c r="M888" s="9">
        <v>46098</v>
      </c>
      <c r="N888" s="18">
        <f t="shared" ca="1" si="40"/>
        <v>0</v>
      </c>
      <c r="O888" s="9">
        <v>46098</v>
      </c>
      <c r="P888" s="9" t="str">
        <f t="shared" si="41"/>
        <v>✅ Ja</v>
      </c>
      <c r="Q888" t="s">
        <v>838</v>
      </c>
      <c r="S888" t="s">
        <v>838</v>
      </c>
      <c r="T888" t="s">
        <v>540</v>
      </c>
      <c r="U888" t="s">
        <v>645</v>
      </c>
    </row>
    <row r="889" spans="2:21" x14ac:dyDescent="0.25">
      <c r="B889" s="3" t="s">
        <v>422</v>
      </c>
      <c r="C889" t="s">
        <v>460</v>
      </c>
      <c r="D889" t="str">
        <f>IF(_xlfn.XLOOKUP(C889, ABZ!A:A, ABZ!B:B, "", 0) = 0, "", _xlfn.XLOOKUP(C889, ABZ!A:A, ABZ!B:B, "", 0))</f>
        <v>ENT-PM-F-OS</v>
      </c>
      <c r="E889" t="s">
        <v>834</v>
      </c>
      <c r="F889" t="s">
        <v>529</v>
      </c>
      <c r="I889">
        <f t="shared" si="39"/>
        <v>1</v>
      </c>
      <c r="J889" t="s">
        <v>875</v>
      </c>
      <c r="L889" s="9">
        <v>46098</v>
      </c>
      <c r="M889" s="9">
        <v>46098</v>
      </c>
      <c r="N889" s="18">
        <f t="shared" ca="1" si="40"/>
        <v>0</v>
      </c>
      <c r="O889" s="9">
        <v>46098</v>
      </c>
      <c r="P889" s="9" t="str">
        <f t="shared" si="41"/>
        <v>✅ Ja</v>
      </c>
      <c r="Q889" t="s">
        <v>845</v>
      </c>
      <c r="S889" t="s">
        <v>838</v>
      </c>
      <c r="T889" t="s">
        <v>540</v>
      </c>
      <c r="U889" t="s">
        <v>645</v>
      </c>
    </row>
    <row r="890" spans="2:21" x14ac:dyDescent="0.25">
      <c r="B890" s="3" t="s">
        <v>423</v>
      </c>
      <c r="C890" t="s">
        <v>457</v>
      </c>
      <c r="D890" t="str">
        <f>IF(_xlfn.XLOOKUP(C890, ABZ!A:A, ABZ!B:B, "", 0) = 0, "", _xlfn.XLOOKUP(C890, ABZ!A:A, ABZ!B:B, "", 0))</f>
        <v>VTR-CS-SER-PartnerCommunication</v>
      </c>
      <c r="E890" t="s">
        <v>834</v>
      </c>
      <c r="F890" t="s">
        <v>527</v>
      </c>
      <c r="I890">
        <f t="shared" si="39"/>
        <v>0</v>
      </c>
      <c r="J890" t="s">
        <v>875</v>
      </c>
      <c r="L890" s="9">
        <v>46104</v>
      </c>
      <c r="M890" s="9">
        <v>46108</v>
      </c>
      <c r="N890" s="18">
        <f t="shared" ca="1" si="40"/>
        <v>4</v>
      </c>
      <c r="O890" s="9">
        <v>46111</v>
      </c>
      <c r="P890" s="9" t="str">
        <f t="shared" si="41"/>
        <v>✅ Ja</v>
      </c>
      <c r="Q890" t="s">
        <v>836</v>
      </c>
      <c r="S890" t="s">
        <v>839</v>
      </c>
      <c r="T890" t="s">
        <v>540</v>
      </c>
      <c r="U890" t="s">
        <v>641</v>
      </c>
    </row>
    <row r="891" spans="2:21" x14ac:dyDescent="0.25">
      <c r="B891" s="3" t="s">
        <v>424</v>
      </c>
      <c r="C891" t="s">
        <v>523</v>
      </c>
      <c r="D891" t="str">
        <f>IF(_xlfn.XLOOKUP(C891, ABZ!A:A, ABZ!B:B, "", 0) = 0, "", _xlfn.XLOOKUP(C891, ABZ!A:A, ABZ!B:B, "", 0))</f>
        <v>KOM-Presse</v>
      </c>
      <c r="E891" t="s">
        <v>834</v>
      </c>
      <c r="F891" t="s">
        <v>529</v>
      </c>
      <c r="I891">
        <f t="shared" si="39"/>
        <v>0</v>
      </c>
      <c r="J891" t="s">
        <v>875</v>
      </c>
      <c r="L891" s="9">
        <v>46104</v>
      </c>
      <c r="M891" s="9">
        <v>46119</v>
      </c>
      <c r="N891" s="18">
        <f t="shared" ca="1" si="40"/>
        <v>15</v>
      </c>
      <c r="O891" s="9">
        <v>46114</v>
      </c>
      <c r="P891" s="9" t="str">
        <f t="shared" si="41"/>
        <v>❌ Nein</v>
      </c>
      <c r="Q891" t="s">
        <v>837</v>
      </c>
      <c r="S891" t="s">
        <v>840</v>
      </c>
      <c r="T891" t="s">
        <v>540</v>
      </c>
      <c r="U891" t="s">
        <v>641</v>
      </c>
    </row>
    <row r="892" spans="2:21" x14ac:dyDescent="0.25">
      <c r="B892" s="3" t="s">
        <v>425</v>
      </c>
      <c r="C892" t="s">
        <v>457</v>
      </c>
      <c r="D892" t="str">
        <f>IF(_xlfn.XLOOKUP(C892, ABZ!A:A, ABZ!B:B, "", 0) = 0, "", _xlfn.XLOOKUP(C892, ABZ!A:A, ABZ!B:B, "", 0))</f>
        <v>VTR-CS-SER-PartnerCommunication</v>
      </c>
      <c r="E892" t="s">
        <v>834</v>
      </c>
      <c r="F892" t="s">
        <v>527</v>
      </c>
      <c r="I892">
        <f t="shared" si="39"/>
        <v>0</v>
      </c>
      <c r="J892" t="s">
        <v>875</v>
      </c>
      <c r="L892" s="9">
        <v>46104</v>
      </c>
      <c r="M892" s="9">
        <v>46108</v>
      </c>
      <c r="N892" s="18">
        <f t="shared" ca="1" si="40"/>
        <v>4</v>
      </c>
      <c r="O892" s="9">
        <v>46111</v>
      </c>
      <c r="P892" s="9" t="str">
        <f t="shared" si="41"/>
        <v>✅ Ja</v>
      </c>
      <c r="Q892" t="s">
        <v>836</v>
      </c>
      <c r="S892" t="s">
        <v>839</v>
      </c>
      <c r="T892" t="s">
        <v>540</v>
      </c>
      <c r="U892" t="s">
        <v>641</v>
      </c>
    </row>
    <row r="893" spans="2:21" x14ac:dyDescent="0.25">
      <c r="B893" t="s">
        <v>426</v>
      </c>
      <c r="C893" t="s">
        <v>468</v>
      </c>
      <c r="D893" t="str">
        <f>IF(_xlfn.XLOOKUP(C893, ABZ!A:A, ABZ!B:B, "", 0) = 0, "", _xlfn.XLOOKUP(C893, ABZ!A:A, ABZ!B:B, "", 0))</f>
        <v>SUP-TCO-KnowledgeManagement</v>
      </c>
      <c r="E893" t="s">
        <v>834</v>
      </c>
      <c r="F893" t="s">
        <v>527</v>
      </c>
      <c r="I893">
        <f t="shared" si="39"/>
        <v>1</v>
      </c>
      <c r="L893" s="9">
        <v>46104</v>
      </c>
      <c r="M893" s="9"/>
      <c r="N893" s="18">
        <f t="shared" ca="1" si="40"/>
        <v>60</v>
      </c>
      <c r="O893" s="9">
        <v>46105</v>
      </c>
      <c r="P893" s="9" t="str">
        <f t="shared" si="41"/>
        <v>⏳ Offen</v>
      </c>
      <c r="Q893" t="s">
        <v>836</v>
      </c>
      <c r="S893" t="s">
        <v>840</v>
      </c>
      <c r="T893" t="s">
        <v>540</v>
      </c>
      <c r="U893" t="s">
        <v>622</v>
      </c>
    </row>
    <row r="894" spans="2:21" x14ac:dyDescent="0.25">
      <c r="B894" t="s">
        <v>427</v>
      </c>
      <c r="C894" t="s">
        <v>468</v>
      </c>
      <c r="D894" t="str">
        <f>IF(_xlfn.XLOOKUP(C894, ABZ!A:A, ABZ!B:B, "", 0) = 0, "", _xlfn.XLOOKUP(C894, ABZ!A:A, ABZ!B:B, "", 0))</f>
        <v>SUP-TCO-KnowledgeManagement</v>
      </c>
      <c r="E894" t="s">
        <v>834</v>
      </c>
      <c r="F894" t="s">
        <v>528</v>
      </c>
      <c r="I894">
        <f t="shared" si="39"/>
        <v>1</v>
      </c>
      <c r="L894" s="9">
        <v>46104</v>
      </c>
      <c r="M894" s="9">
        <v>46104</v>
      </c>
      <c r="N894" s="18">
        <f t="shared" ca="1" si="40"/>
        <v>0</v>
      </c>
      <c r="O894" s="9">
        <v>46105</v>
      </c>
      <c r="P894" s="9" t="str">
        <f t="shared" si="41"/>
        <v>✅ Ja</v>
      </c>
      <c r="Q894" t="s">
        <v>841</v>
      </c>
      <c r="S894" t="s">
        <v>840</v>
      </c>
      <c r="T894" t="s">
        <v>540</v>
      </c>
      <c r="U894" t="s">
        <v>622</v>
      </c>
    </row>
    <row r="895" spans="2:21" x14ac:dyDescent="0.25">
      <c r="B895" t="s">
        <v>428</v>
      </c>
      <c r="C895" t="s">
        <v>468</v>
      </c>
      <c r="D895" t="str">
        <f>IF(_xlfn.XLOOKUP(C895, ABZ!A:A, ABZ!B:B, "", 0) = 0, "", _xlfn.XLOOKUP(C895, ABZ!A:A, ABZ!B:B, "", 0))</f>
        <v>SUP-TCO-KnowledgeManagement</v>
      </c>
      <c r="E895" t="s">
        <v>834</v>
      </c>
      <c r="F895" t="s">
        <v>528</v>
      </c>
      <c r="I895">
        <f t="shared" si="39"/>
        <v>0</v>
      </c>
      <c r="L895" s="9">
        <v>46104</v>
      </c>
      <c r="M895" s="9">
        <v>46105</v>
      </c>
      <c r="N895" s="18">
        <f t="shared" ca="1" si="40"/>
        <v>1</v>
      </c>
      <c r="O895" s="9">
        <v>46108</v>
      </c>
      <c r="P895" s="9" t="str">
        <f t="shared" si="41"/>
        <v>✅ Ja</v>
      </c>
      <c r="Q895" t="s">
        <v>841</v>
      </c>
      <c r="S895" t="s">
        <v>840</v>
      </c>
      <c r="T895" t="s">
        <v>540</v>
      </c>
      <c r="U895" t="s">
        <v>622</v>
      </c>
    </row>
    <row r="896" spans="2:21" x14ac:dyDescent="0.25">
      <c r="B896" t="s">
        <v>429</v>
      </c>
      <c r="C896" t="s">
        <v>468</v>
      </c>
      <c r="D896" t="str">
        <f>IF(_xlfn.XLOOKUP(C896, ABZ!A:A, ABZ!B:B, "", 0) = 0, "", _xlfn.XLOOKUP(C896, ABZ!A:A, ABZ!B:B, "", 0))</f>
        <v>SUP-TCO-KnowledgeManagement</v>
      </c>
      <c r="E896" t="s">
        <v>834</v>
      </c>
      <c r="F896" t="s">
        <v>527</v>
      </c>
      <c r="I896">
        <f t="shared" si="39"/>
        <v>0</v>
      </c>
      <c r="L896" s="9">
        <v>46104</v>
      </c>
      <c r="M896" s="9"/>
      <c r="N896" s="18">
        <f t="shared" ca="1" si="40"/>
        <v>60</v>
      </c>
      <c r="O896" s="9">
        <v>46108</v>
      </c>
      <c r="P896" s="9" t="str">
        <f t="shared" si="41"/>
        <v>⏳ Offen</v>
      </c>
      <c r="Q896" t="s">
        <v>836</v>
      </c>
      <c r="S896" t="s">
        <v>840</v>
      </c>
      <c r="T896" t="s">
        <v>540</v>
      </c>
      <c r="U896" t="s">
        <v>622</v>
      </c>
    </row>
    <row r="897" spans="2:21" x14ac:dyDescent="0.25">
      <c r="B897" s="3" t="s">
        <v>430</v>
      </c>
      <c r="C897" t="s">
        <v>478</v>
      </c>
      <c r="D897" t="str">
        <f>IF(_xlfn.XLOOKUP(C897, ABZ!A:A, ABZ!B:B, "", 0) = 0, "", _xlfn.XLOOKUP(C897, ABZ!A:A, ABZ!B:B, "", 0))</f>
        <v>D2C-MarketingContent</v>
      </c>
      <c r="E897" t="s">
        <v>834</v>
      </c>
      <c r="F897" t="s">
        <v>527</v>
      </c>
      <c r="I897">
        <f t="shared" si="39"/>
        <v>0</v>
      </c>
      <c r="J897" t="s">
        <v>875</v>
      </c>
      <c r="L897" s="9">
        <v>46105</v>
      </c>
      <c r="M897" s="9">
        <v>46107</v>
      </c>
      <c r="N897" s="18">
        <f t="shared" ca="1" si="40"/>
        <v>2</v>
      </c>
      <c r="O897" s="9">
        <v>46108</v>
      </c>
      <c r="P897" s="9" t="str">
        <f t="shared" si="41"/>
        <v>✅ Ja</v>
      </c>
      <c r="S897" t="s">
        <v>841</v>
      </c>
      <c r="T897" t="s">
        <v>540</v>
      </c>
      <c r="U897" t="s">
        <v>691</v>
      </c>
    </row>
    <row r="898" spans="2:21" x14ac:dyDescent="0.25">
      <c r="B898" s="3" t="s">
        <v>430</v>
      </c>
      <c r="C898" t="s">
        <v>478</v>
      </c>
      <c r="D898" t="str">
        <f>IF(_xlfn.XLOOKUP(C898, ABZ!A:A, ABZ!B:B, "", 0) = 0, "", _xlfn.XLOOKUP(C898, ABZ!A:A, ABZ!B:B, "", 0))</f>
        <v>D2C-MarketingContent</v>
      </c>
      <c r="E898" t="s">
        <v>834</v>
      </c>
      <c r="F898" t="s">
        <v>527</v>
      </c>
      <c r="I898">
        <f t="shared" si="39"/>
        <v>0</v>
      </c>
      <c r="J898" t="s">
        <v>875</v>
      </c>
      <c r="L898" s="9">
        <v>46105</v>
      </c>
      <c r="M898" s="9">
        <v>46107</v>
      </c>
      <c r="N898" s="18">
        <f t="shared" ca="1" si="40"/>
        <v>2</v>
      </c>
      <c r="O898" s="9">
        <v>46108</v>
      </c>
      <c r="P898" s="9" t="str">
        <f t="shared" si="41"/>
        <v>✅ Ja</v>
      </c>
      <c r="S898" t="s">
        <v>841</v>
      </c>
      <c r="T898" t="s">
        <v>540</v>
      </c>
      <c r="U898" t="s">
        <v>691</v>
      </c>
    </row>
    <row r="899" spans="2:21" x14ac:dyDescent="0.25">
      <c r="B899" s="3" t="s">
        <v>430</v>
      </c>
      <c r="C899" t="s">
        <v>478</v>
      </c>
      <c r="D899" t="str">
        <f>IF(_xlfn.XLOOKUP(C899, ABZ!A:A, ABZ!B:B, "", 0) = 0, "", _xlfn.XLOOKUP(C899, ABZ!A:A, ABZ!B:B, "", 0))</f>
        <v>D2C-MarketingContent</v>
      </c>
      <c r="E899" t="s">
        <v>834</v>
      </c>
      <c r="F899" t="s">
        <v>527</v>
      </c>
      <c r="I899">
        <f t="shared" ref="I899:I962" si="42">IF(AND(O899&lt;&gt;"",L899&lt;&gt;""),IF((O899-L899)&lt;=2,1,0),0)</f>
        <v>0</v>
      </c>
      <c r="J899" t="s">
        <v>875</v>
      </c>
      <c r="L899" s="9">
        <v>46105</v>
      </c>
      <c r="M899" s="9">
        <v>46107</v>
      </c>
      <c r="N899" s="18">
        <f t="shared" ref="N899:N962" ca="1" si="43">IF(M899&lt;&gt;"",M899-L899,TODAY()-L899)</f>
        <v>2</v>
      </c>
      <c r="O899" s="9">
        <v>46108</v>
      </c>
      <c r="P899" s="9" t="str">
        <f t="shared" ref="P899:P962" si="44">IF(M899="","⏳ Offen",IF(M899&lt;=O899,"✅ Ja","❌ Nein"))</f>
        <v>✅ Ja</v>
      </c>
      <c r="S899" t="s">
        <v>841</v>
      </c>
      <c r="T899" t="s">
        <v>540</v>
      </c>
      <c r="U899" t="s">
        <v>691</v>
      </c>
    </row>
    <row r="900" spans="2:21" x14ac:dyDescent="0.25">
      <c r="B900" s="3" t="s">
        <v>430</v>
      </c>
      <c r="C900" t="s">
        <v>478</v>
      </c>
      <c r="D900" t="str">
        <f>IF(_xlfn.XLOOKUP(C900, ABZ!A:A, ABZ!B:B, "", 0) = 0, "", _xlfn.XLOOKUP(C900, ABZ!A:A, ABZ!B:B, "", 0))</f>
        <v>D2C-MarketingContent</v>
      </c>
      <c r="E900" t="s">
        <v>834</v>
      </c>
      <c r="F900" t="s">
        <v>527</v>
      </c>
      <c r="I900">
        <f t="shared" si="42"/>
        <v>0</v>
      </c>
      <c r="J900" t="s">
        <v>875</v>
      </c>
      <c r="L900" s="9">
        <v>46105</v>
      </c>
      <c r="M900" s="9">
        <v>46107</v>
      </c>
      <c r="N900" s="18">
        <f t="shared" ca="1" si="43"/>
        <v>2</v>
      </c>
      <c r="O900" s="9">
        <v>46108</v>
      </c>
      <c r="P900" s="9" t="str">
        <f t="shared" si="44"/>
        <v>✅ Ja</v>
      </c>
      <c r="S900" t="s">
        <v>841</v>
      </c>
      <c r="T900" t="s">
        <v>540</v>
      </c>
      <c r="U900" t="s">
        <v>691</v>
      </c>
    </row>
    <row r="901" spans="2:21" x14ac:dyDescent="0.25">
      <c r="B901" s="3" t="s">
        <v>430</v>
      </c>
      <c r="C901" t="s">
        <v>478</v>
      </c>
      <c r="D901" t="str">
        <f>IF(_xlfn.XLOOKUP(C901, ABZ!A:A, ABZ!B:B, "", 0) = 0, "", _xlfn.XLOOKUP(C901, ABZ!A:A, ABZ!B:B, "", 0))</f>
        <v>D2C-MarketingContent</v>
      </c>
      <c r="E901" t="s">
        <v>834</v>
      </c>
      <c r="F901" t="s">
        <v>527</v>
      </c>
      <c r="I901">
        <f t="shared" si="42"/>
        <v>0</v>
      </c>
      <c r="J901" t="s">
        <v>875</v>
      </c>
      <c r="L901" s="9">
        <v>46105</v>
      </c>
      <c r="M901" s="9">
        <v>46107</v>
      </c>
      <c r="N901" s="18">
        <f t="shared" ca="1" si="43"/>
        <v>2</v>
      </c>
      <c r="O901" s="9">
        <v>46108</v>
      </c>
      <c r="P901" s="9" t="str">
        <f t="shared" si="44"/>
        <v>✅ Ja</v>
      </c>
      <c r="S901" t="s">
        <v>841</v>
      </c>
      <c r="T901" t="s">
        <v>540</v>
      </c>
      <c r="U901" t="s">
        <v>691</v>
      </c>
    </row>
    <row r="902" spans="2:21" x14ac:dyDescent="0.25">
      <c r="B902" s="3" t="s">
        <v>431</v>
      </c>
      <c r="C902" t="s">
        <v>460</v>
      </c>
      <c r="D902" t="str">
        <f>IF(_xlfn.XLOOKUP(C902, ABZ!A:A, ABZ!B:B, "", 0) = 0, "", _xlfn.XLOOKUP(C902, ABZ!A:A, ABZ!B:B, "", 0))</f>
        <v>ENT-PM-F-OS</v>
      </c>
      <c r="E902" t="s">
        <v>835</v>
      </c>
      <c r="F902" t="s">
        <v>532</v>
      </c>
      <c r="H902">
        <v>2</v>
      </c>
      <c r="I902">
        <f t="shared" si="42"/>
        <v>1</v>
      </c>
      <c r="J902" t="s">
        <v>875</v>
      </c>
      <c r="L902" s="9">
        <v>46105</v>
      </c>
      <c r="M902" s="9">
        <v>46106</v>
      </c>
      <c r="N902" s="18">
        <f t="shared" ca="1" si="43"/>
        <v>1</v>
      </c>
      <c r="O902" s="9">
        <v>46106</v>
      </c>
      <c r="P902" s="9" t="str">
        <f t="shared" si="44"/>
        <v>✅ Ja</v>
      </c>
      <c r="Q902" t="s">
        <v>838</v>
      </c>
      <c r="S902" t="s">
        <v>838</v>
      </c>
      <c r="T902" t="s">
        <v>540</v>
      </c>
      <c r="U902" t="s">
        <v>645</v>
      </c>
    </row>
    <row r="903" spans="2:21" x14ac:dyDescent="0.25">
      <c r="B903" s="3" t="s">
        <v>431</v>
      </c>
      <c r="C903" t="s">
        <v>460</v>
      </c>
      <c r="D903" t="str">
        <f>IF(_xlfn.XLOOKUP(C903, ABZ!A:A, ABZ!B:B, "", 0) = 0, "", _xlfn.XLOOKUP(C903, ABZ!A:A, ABZ!B:B, "", 0))</f>
        <v>ENT-PM-F-OS</v>
      </c>
      <c r="E903" t="s">
        <v>834</v>
      </c>
      <c r="F903" t="s">
        <v>529</v>
      </c>
      <c r="I903">
        <f t="shared" si="42"/>
        <v>1</v>
      </c>
      <c r="J903" t="s">
        <v>875</v>
      </c>
      <c r="L903" s="9">
        <v>46106</v>
      </c>
      <c r="M903" s="9">
        <v>46106</v>
      </c>
      <c r="N903" s="18">
        <f t="shared" ca="1" si="43"/>
        <v>0</v>
      </c>
      <c r="O903" s="9">
        <v>46106</v>
      </c>
      <c r="P903" s="9" t="str">
        <f t="shared" si="44"/>
        <v>✅ Ja</v>
      </c>
      <c r="Q903" t="s">
        <v>845</v>
      </c>
      <c r="S903" t="s">
        <v>838</v>
      </c>
      <c r="T903" t="s">
        <v>540</v>
      </c>
      <c r="U903" t="s">
        <v>645</v>
      </c>
    </row>
    <row r="904" spans="2:21" x14ac:dyDescent="0.25">
      <c r="B904" s="3" t="s">
        <v>432</v>
      </c>
      <c r="C904" t="s">
        <v>482</v>
      </c>
      <c r="D904" t="str">
        <f>IF(_xlfn.XLOOKUP(C904, ABZ!A:A, ABZ!B:B, "", 0) = 0, "", _xlfn.XLOOKUP(C904, ABZ!A:A, ABZ!B:B, "", 0))</f>
        <v>KOM-Marketing</v>
      </c>
      <c r="E904" t="s">
        <v>835</v>
      </c>
      <c r="F904" t="s">
        <v>532</v>
      </c>
      <c r="H904">
        <v>2</v>
      </c>
      <c r="I904">
        <f t="shared" si="42"/>
        <v>1</v>
      </c>
      <c r="J904" t="s">
        <v>875</v>
      </c>
      <c r="L904" s="9">
        <v>46105</v>
      </c>
      <c r="M904" s="9">
        <v>46107</v>
      </c>
      <c r="N904" s="18">
        <f t="shared" ca="1" si="43"/>
        <v>2</v>
      </c>
      <c r="O904" s="9">
        <v>46107</v>
      </c>
      <c r="P904" s="9" t="str">
        <f t="shared" si="44"/>
        <v>✅ Ja</v>
      </c>
      <c r="Q904" t="s">
        <v>838</v>
      </c>
      <c r="S904" t="s">
        <v>840</v>
      </c>
      <c r="T904" t="s">
        <v>540</v>
      </c>
      <c r="U904" t="s">
        <v>641</v>
      </c>
    </row>
    <row r="905" spans="2:21" x14ac:dyDescent="0.25">
      <c r="B905" s="3" t="s">
        <v>432</v>
      </c>
      <c r="C905" t="s">
        <v>482</v>
      </c>
      <c r="D905" t="str">
        <f>IF(_xlfn.XLOOKUP(C905, ABZ!A:A, ABZ!B:B, "", 0) = 0, "", _xlfn.XLOOKUP(C905, ABZ!A:A, ABZ!B:B, "", 0))</f>
        <v>KOM-Marketing</v>
      </c>
      <c r="E905" t="s">
        <v>834</v>
      </c>
      <c r="F905" t="s">
        <v>529</v>
      </c>
      <c r="I905">
        <f t="shared" si="42"/>
        <v>1</v>
      </c>
      <c r="J905" t="s">
        <v>875</v>
      </c>
      <c r="L905" s="9">
        <v>46105</v>
      </c>
      <c r="M905" s="9">
        <v>46107</v>
      </c>
      <c r="N905" s="18">
        <f t="shared" ca="1" si="43"/>
        <v>2</v>
      </c>
      <c r="O905" s="9">
        <v>46107</v>
      </c>
      <c r="P905" s="9" t="str">
        <f t="shared" si="44"/>
        <v>✅ Ja</v>
      </c>
      <c r="Q905" t="s">
        <v>846</v>
      </c>
      <c r="R905" t="s">
        <v>845</v>
      </c>
      <c r="S905" t="s">
        <v>840</v>
      </c>
      <c r="T905" t="s">
        <v>540</v>
      </c>
      <c r="U905" t="s">
        <v>641</v>
      </c>
    </row>
    <row r="906" spans="2:21" x14ac:dyDescent="0.25">
      <c r="B906" t="s">
        <v>433</v>
      </c>
      <c r="C906" t="s">
        <v>468</v>
      </c>
      <c r="D906" t="str">
        <f>IF(_xlfn.XLOOKUP(C906, ABZ!A:A, ABZ!B:B, "", 0) = 0, "", _xlfn.XLOOKUP(C906, ABZ!A:A, ABZ!B:B, "", 0))</f>
        <v>SUP-TCO-KnowledgeManagement</v>
      </c>
      <c r="E906" t="s">
        <v>834</v>
      </c>
      <c r="F906" t="s">
        <v>529</v>
      </c>
      <c r="I906">
        <f t="shared" si="42"/>
        <v>1</v>
      </c>
      <c r="L906" s="9">
        <v>46105</v>
      </c>
      <c r="M906" s="9">
        <v>46106</v>
      </c>
      <c r="N906" s="18">
        <f t="shared" ca="1" si="43"/>
        <v>1</v>
      </c>
      <c r="O906" s="9">
        <v>46106</v>
      </c>
      <c r="P906" s="9" t="str">
        <f t="shared" si="44"/>
        <v>✅ Ja</v>
      </c>
      <c r="Q906" t="s">
        <v>846</v>
      </c>
      <c r="S906" t="s">
        <v>840</v>
      </c>
      <c r="T906" t="s">
        <v>540</v>
      </c>
      <c r="U906" t="s">
        <v>622</v>
      </c>
    </row>
    <row r="907" spans="2:21" x14ac:dyDescent="0.25">
      <c r="B907" t="s">
        <v>434</v>
      </c>
      <c r="C907" t="s">
        <v>468</v>
      </c>
      <c r="D907" t="str">
        <f>IF(_xlfn.XLOOKUP(C907, ABZ!A:A, ABZ!B:B, "", 0) = 0, "", _xlfn.XLOOKUP(C907, ABZ!A:A, ABZ!B:B, "", 0))</f>
        <v>SUP-TCO-KnowledgeManagement</v>
      </c>
      <c r="E907" t="s">
        <v>834</v>
      </c>
      <c r="F907" t="s">
        <v>530</v>
      </c>
      <c r="I907">
        <f t="shared" si="42"/>
        <v>1</v>
      </c>
      <c r="L907" s="9">
        <v>46105</v>
      </c>
      <c r="M907" s="9">
        <v>46107</v>
      </c>
      <c r="N907" s="18">
        <f t="shared" ca="1" si="43"/>
        <v>2</v>
      </c>
      <c r="O907" s="9">
        <v>46107</v>
      </c>
      <c r="P907" s="9" t="str">
        <f t="shared" si="44"/>
        <v>✅ Ja</v>
      </c>
      <c r="Q907" t="s">
        <v>839</v>
      </c>
      <c r="S907" t="s">
        <v>840</v>
      </c>
      <c r="T907" t="s">
        <v>540</v>
      </c>
      <c r="U907" t="s">
        <v>622</v>
      </c>
    </row>
    <row r="908" spans="2:21" x14ac:dyDescent="0.25">
      <c r="B908" t="s">
        <v>435</v>
      </c>
      <c r="C908" t="s">
        <v>468</v>
      </c>
      <c r="D908" t="str">
        <f>IF(_xlfn.XLOOKUP(C908, ABZ!A:A, ABZ!B:B, "", 0) = 0, "", _xlfn.XLOOKUP(C908, ABZ!A:A, ABZ!B:B, "", 0))</f>
        <v>SUP-TCO-KnowledgeManagement</v>
      </c>
      <c r="E908" t="s">
        <v>834</v>
      </c>
      <c r="F908" t="s">
        <v>528</v>
      </c>
      <c r="I908">
        <f t="shared" si="42"/>
        <v>1</v>
      </c>
      <c r="L908" s="9">
        <v>46105</v>
      </c>
      <c r="M908" s="9">
        <v>46106</v>
      </c>
      <c r="N908" s="18">
        <f t="shared" ca="1" si="43"/>
        <v>1</v>
      </c>
      <c r="O908" s="9">
        <v>46106</v>
      </c>
      <c r="P908" s="9" t="str">
        <f t="shared" si="44"/>
        <v>✅ Ja</v>
      </c>
      <c r="Q908" t="s">
        <v>841</v>
      </c>
      <c r="S908" t="s">
        <v>840</v>
      </c>
      <c r="T908" t="s">
        <v>540</v>
      </c>
      <c r="U908" t="s">
        <v>622</v>
      </c>
    </row>
    <row r="909" spans="2:21" x14ac:dyDescent="0.25">
      <c r="B909" t="s">
        <v>436</v>
      </c>
      <c r="C909" t="s">
        <v>468</v>
      </c>
      <c r="D909" t="str">
        <f>IF(_xlfn.XLOOKUP(C909, ABZ!A:A, ABZ!B:B, "", 0) = 0, "", _xlfn.XLOOKUP(C909, ABZ!A:A, ABZ!B:B, "", 0))</f>
        <v>SUP-TCO-KnowledgeManagement</v>
      </c>
      <c r="E909" t="s">
        <v>834</v>
      </c>
      <c r="F909" t="s">
        <v>527</v>
      </c>
      <c r="I909">
        <f t="shared" si="42"/>
        <v>1</v>
      </c>
      <c r="L909" s="9">
        <v>46105</v>
      </c>
      <c r="M909" s="9">
        <v>46106</v>
      </c>
      <c r="N909" s="18">
        <f t="shared" ca="1" si="43"/>
        <v>1</v>
      </c>
      <c r="O909" s="9">
        <v>46106</v>
      </c>
      <c r="P909" s="9" t="str">
        <f t="shared" si="44"/>
        <v>✅ Ja</v>
      </c>
      <c r="Q909" t="s">
        <v>836</v>
      </c>
      <c r="S909" t="s">
        <v>840</v>
      </c>
      <c r="T909" t="s">
        <v>540</v>
      </c>
      <c r="U909" t="s">
        <v>622</v>
      </c>
    </row>
    <row r="910" spans="2:21" x14ac:dyDescent="0.25">
      <c r="B910" t="s">
        <v>437</v>
      </c>
      <c r="C910" t="s">
        <v>468</v>
      </c>
      <c r="D910" t="str">
        <f>IF(_xlfn.XLOOKUP(C910, ABZ!A:A, ABZ!B:B, "", 0) = 0, "", _xlfn.XLOOKUP(C910, ABZ!A:A, ABZ!B:B, "", 0))</f>
        <v>SUP-TCO-KnowledgeManagement</v>
      </c>
      <c r="E910" t="s">
        <v>834</v>
      </c>
      <c r="F910" t="s">
        <v>531</v>
      </c>
      <c r="I910">
        <f t="shared" si="42"/>
        <v>1</v>
      </c>
      <c r="L910" s="9">
        <v>46105</v>
      </c>
      <c r="M910" s="9">
        <v>46106</v>
      </c>
      <c r="N910" s="18">
        <f t="shared" ca="1" si="43"/>
        <v>1</v>
      </c>
      <c r="O910" s="9">
        <v>46106</v>
      </c>
      <c r="P910" s="9" t="str">
        <f t="shared" si="44"/>
        <v>✅ Ja</v>
      </c>
      <c r="Q910" t="s">
        <v>840</v>
      </c>
      <c r="S910" t="s">
        <v>840</v>
      </c>
      <c r="T910" t="s">
        <v>540</v>
      </c>
      <c r="U910" t="s">
        <v>622</v>
      </c>
    </row>
    <row r="911" spans="2:21" x14ac:dyDescent="0.25">
      <c r="B911" s="3" t="s">
        <v>438</v>
      </c>
      <c r="C911" t="s">
        <v>504</v>
      </c>
      <c r="D911" t="str">
        <f>IF(_xlfn.XLOOKUP(C911, ABZ!A:A, ABZ!B:B, "", 0) = 0, "", _xlfn.XLOOKUP(C911, ABZ!A:A, ABZ!B:B, "", 0))</f>
        <v>SUP-TechnicalCommunication-TCO</v>
      </c>
      <c r="E911" t="s">
        <v>834</v>
      </c>
      <c r="F911" t="s">
        <v>527</v>
      </c>
      <c r="I911">
        <f t="shared" si="42"/>
        <v>0</v>
      </c>
      <c r="J911" t="s">
        <v>875</v>
      </c>
      <c r="L911" s="9">
        <v>46106</v>
      </c>
      <c r="M911" s="9">
        <v>46112</v>
      </c>
      <c r="N911" s="18">
        <f t="shared" ca="1" si="43"/>
        <v>6</v>
      </c>
      <c r="O911" s="9">
        <v>46120</v>
      </c>
      <c r="P911" s="9" t="str">
        <f t="shared" si="44"/>
        <v>✅ Ja</v>
      </c>
      <c r="S911" t="s">
        <v>841</v>
      </c>
      <c r="T911" t="s">
        <v>540</v>
      </c>
      <c r="U911" t="s">
        <v>691</v>
      </c>
    </row>
    <row r="912" spans="2:21" x14ac:dyDescent="0.25">
      <c r="B912" s="3" t="s">
        <v>438</v>
      </c>
      <c r="C912" t="s">
        <v>504</v>
      </c>
      <c r="D912" t="str">
        <f>IF(_xlfn.XLOOKUP(C912, ABZ!A:A, ABZ!B:B, "", 0) = 0, "", _xlfn.XLOOKUP(C912, ABZ!A:A, ABZ!B:B, "", 0))</f>
        <v>SUP-TechnicalCommunication-TCO</v>
      </c>
      <c r="E912" t="s">
        <v>834</v>
      </c>
      <c r="F912" t="s">
        <v>527</v>
      </c>
      <c r="I912">
        <f t="shared" si="42"/>
        <v>0</v>
      </c>
      <c r="J912" t="s">
        <v>875</v>
      </c>
      <c r="L912" s="9">
        <v>46106</v>
      </c>
      <c r="M912" s="9">
        <v>46112</v>
      </c>
      <c r="N912" s="18">
        <f t="shared" ca="1" si="43"/>
        <v>6</v>
      </c>
      <c r="O912" s="9">
        <v>46120</v>
      </c>
      <c r="P912" s="9" t="str">
        <f t="shared" si="44"/>
        <v>✅ Ja</v>
      </c>
      <c r="S912" t="s">
        <v>841</v>
      </c>
      <c r="T912" t="s">
        <v>540</v>
      </c>
      <c r="U912" t="s">
        <v>691</v>
      </c>
    </row>
    <row r="913" spans="2:21" x14ac:dyDescent="0.25">
      <c r="B913" s="3" t="s">
        <v>438</v>
      </c>
      <c r="C913" t="s">
        <v>504</v>
      </c>
      <c r="D913" t="str">
        <f>IF(_xlfn.XLOOKUP(C913, ABZ!A:A, ABZ!B:B, "", 0) = 0, "", _xlfn.XLOOKUP(C913, ABZ!A:A, ABZ!B:B, "", 0))</f>
        <v>SUP-TechnicalCommunication-TCO</v>
      </c>
      <c r="E913" t="s">
        <v>834</v>
      </c>
      <c r="F913" t="s">
        <v>527</v>
      </c>
      <c r="I913">
        <f t="shared" si="42"/>
        <v>0</v>
      </c>
      <c r="J913" t="s">
        <v>875</v>
      </c>
      <c r="L913" s="9">
        <v>46106</v>
      </c>
      <c r="M913" s="9">
        <v>46112</v>
      </c>
      <c r="N913" s="18">
        <f t="shared" ca="1" si="43"/>
        <v>6</v>
      </c>
      <c r="O913" s="9">
        <v>46120</v>
      </c>
      <c r="P913" s="9" t="str">
        <f t="shared" si="44"/>
        <v>✅ Ja</v>
      </c>
      <c r="S913" t="s">
        <v>841</v>
      </c>
      <c r="T913" t="s">
        <v>540</v>
      </c>
      <c r="U913" t="s">
        <v>691</v>
      </c>
    </row>
    <row r="914" spans="2:21" x14ac:dyDescent="0.25">
      <c r="B914" s="3" t="s">
        <v>438</v>
      </c>
      <c r="C914" t="s">
        <v>504</v>
      </c>
      <c r="D914" t="str">
        <f>IF(_xlfn.XLOOKUP(C914, ABZ!A:A, ABZ!B:B, "", 0) = 0, "", _xlfn.XLOOKUP(C914, ABZ!A:A, ABZ!B:B, "", 0))</f>
        <v>SUP-TechnicalCommunication-TCO</v>
      </c>
      <c r="E914" t="s">
        <v>834</v>
      </c>
      <c r="F914" t="s">
        <v>527</v>
      </c>
      <c r="I914">
        <f t="shared" si="42"/>
        <v>0</v>
      </c>
      <c r="J914" t="s">
        <v>875</v>
      </c>
      <c r="L914" s="9">
        <v>46106</v>
      </c>
      <c r="M914" s="9">
        <v>46112</v>
      </c>
      <c r="N914" s="18">
        <f t="shared" ca="1" si="43"/>
        <v>6</v>
      </c>
      <c r="O914" s="9">
        <v>46120</v>
      </c>
      <c r="P914" s="9" t="str">
        <f t="shared" si="44"/>
        <v>✅ Ja</v>
      </c>
      <c r="S914" t="s">
        <v>841</v>
      </c>
      <c r="T914" t="s">
        <v>540</v>
      </c>
      <c r="U914" t="s">
        <v>691</v>
      </c>
    </row>
    <row r="915" spans="2:21" x14ac:dyDescent="0.25">
      <c r="B915" s="3" t="s">
        <v>438</v>
      </c>
      <c r="C915" t="s">
        <v>504</v>
      </c>
      <c r="D915" t="str">
        <f>IF(_xlfn.XLOOKUP(C915, ABZ!A:A, ABZ!B:B, "", 0) = 0, "", _xlfn.XLOOKUP(C915, ABZ!A:A, ABZ!B:B, "", 0))</f>
        <v>SUP-TechnicalCommunication-TCO</v>
      </c>
      <c r="E915" t="s">
        <v>834</v>
      </c>
      <c r="F915" t="s">
        <v>527</v>
      </c>
      <c r="I915">
        <f t="shared" si="42"/>
        <v>0</v>
      </c>
      <c r="J915" t="s">
        <v>875</v>
      </c>
      <c r="L915" s="9">
        <v>46106</v>
      </c>
      <c r="M915" s="9">
        <v>46112</v>
      </c>
      <c r="N915" s="18">
        <f t="shared" ca="1" si="43"/>
        <v>6</v>
      </c>
      <c r="O915" s="9">
        <v>46120</v>
      </c>
      <c r="P915" s="9" t="str">
        <f t="shared" si="44"/>
        <v>✅ Ja</v>
      </c>
      <c r="S915" t="s">
        <v>841</v>
      </c>
      <c r="T915" t="s">
        <v>540</v>
      </c>
      <c r="U915" t="s">
        <v>691</v>
      </c>
    </row>
    <row r="916" spans="2:21" x14ac:dyDescent="0.25">
      <c r="B916" t="s">
        <v>439</v>
      </c>
      <c r="C916" t="s">
        <v>524</v>
      </c>
      <c r="D916" t="str">
        <f>IF(_xlfn.XLOOKUP(C916, ABZ!A:A, ABZ!B:B, "", 0) = 0, "", _xlfn.XLOOKUP(C916, ABZ!A:A, ABZ!B:B, "", 0))</f>
        <v>ENT-PM-International</v>
      </c>
      <c r="E916" t="s">
        <v>834</v>
      </c>
      <c r="F916" t="s">
        <v>529</v>
      </c>
      <c r="I916">
        <f t="shared" si="42"/>
        <v>0</v>
      </c>
      <c r="J916" t="s">
        <v>873</v>
      </c>
      <c r="K916">
        <v>155912</v>
      </c>
      <c r="L916" s="9">
        <v>46107</v>
      </c>
      <c r="M916" s="9">
        <v>46107</v>
      </c>
      <c r="N916" s="18">
        <f t="shared" ca="1" si="43"/>
        <v>0</v>
      </c>
      <c r="O916" s="9">
        <v>46114</v>
      </c>
      <c r="P916" s="9" t="str">
        <f t="shared" si="44"/>
        <v>✅ Ja</v>
      </c>
      <c r="Q916" t="s">
        <v>846</v>
      </c>
      <c r="S916" t="s">
        <v>840</v>
      </c>
      <c r="T916" t="s">
        <v>888</v>
      </c>
      <c r="U916" t="s">
        <v>693</v>
      </c>
    </row>
    <row r="917" spans="2:21" x14ac:dyDescent="0.25">
      <c r="B917" t="s">
        <v>439</v>
      </c>
      <c r="C917" t="s">
        <v>524</v>
      </c>
      <c r="D917" t="str">
        <f>IF(_xlfn.XLOOKUP(C917, ABZ!A:A, ABZ!B:B, "", 0) = 0, "", _xlfn.XLOOKUP(C917, ABZ!A:A, ABZ!B:B, "", 0))</f>
        <v>ENT-PM-International</v>
      </c>
      <c r="E917" t="s">
        <v>834</v>
      </c>
      <c r="F917" t="s">
        <v>530</v>
      </c>
      <c r="I917">
        <f t="shared" si="42"/>
        <v>0</v>
      </c>
      <c r="J917" t="s">
        <v>873</v>
      </c>
      <c r="K917">
        <v>155912</v>
      </c>
      <c r="L917" s="9">
        <v>46107</v>
      </c>
      <c r="M917" s="9"/>
      <c r="N917" s="18">
        <f t="shared" ca="1" si="43"/>
        <v>57</v>
      </c>
      <c r="O917" s="9">
        <v>46114</v>
      </c>
      <c r="P917" s="9" t="str">
        <f t="shared" si="44"/>
        <v>⏳ Offen</v>
      </c>
      <c r="Q917" t="s">
        <v>839</v>
      </c>
      <c r="S917" t="s">
        <v>840</v>
      </c>
      <c r="T917" t="s">
        <v>888</v>
      </c>
      <c r="U917" t="s">
        <v>693</v>
      </c>
    </row>
    <row r="918" spans="2:21" x14ac:dyDescent="0.25">
      <c r="B918" t="s">
        <v>439</v>
      </c>
      <c r="C918" t="s">
        <v>524</v>
      </c>
      <c r="D918" t="str">
        <f>IF(_xlfn.XLOOKUP(C918, ABZ!A:A, ABZ!B:B, "", 0) = 0, "", _xlfn.XLOOKUP(C918, ABZ!A:A, ABZ!B:B, "", 0))</f>
        <v>ENT-PM-International</v>
      </c>
      <c r="E918" t="s">
        <v>834</v>
      </c>
      <c r="F918" t="s">
        <v>527</v>
      </c>
      <c r="I918">
        <f t="shared" si="42"/>
        <v>0</v>
      </c>
      <c r="J918" t="s">
        <v>873</v>
      </c>
      <c r="K918">
        <v>155912</v>
      </c>
      <c r="L918" s="9">
        <v>46107</v>
      </c>
      <c r="M918" s="9"/>
      <c r="N918" s="18">
        <f t="shared" ca="1" si="43"/>
        <v>57</v>
      </c>
      <c r="O918" s="9">
        <v>46114</v>
      </c>
      <c r="P918" s="9" t="str">
        <f t="shared" si="44"/>
        <v>⏳ Offen</v>
      </c>
      <c r="Q918" t="s">
        <v>836</v>
      </c>
      <c r="S918" t="s">
        <v>840</v>
      </c>
      <c r="T918" t="s">
        <v>888</v>
      </c>
      <c r="U918" t="s">
        <v>693</v>
      </c>
    </row>
    <row r="919" spans="2:21" x14ac:dyDescent="0.25">
      <c r="B919" t="s">
        <v>439</v>
      </c>
      <c r="C919" t="s">
        <v>524</v>
      </c>
      <c r="D919" t="str">
        <f>IF(_xlfn.XLOOKUP(C919, ABZ!A:A, ABZ!B:B, "", 0) = 0, "", _xlfn.XLOOKUP(C919, ABZ!A:A, ABZ!B:B, "", 0))</f>
        <v>ENT-PM-International</v>
      </c>
      <c r="E919" t="s">
        <v>834</v>
      </c>
      <c r="F919" t="s">
        <v>528</v>
      </c>
      <c r="I919">
        <f t="shared" si="42"/>
        <v>0</v>
      </c>
      <c r="J919" t="s">
        <v>873</v>
      </c>
      <c r="K919">
        <v>155912</v>
      </c>
      <c r="L919" s="9">
        <v>46107</v>
      </c>
      <c r="M919" s="9"/>
      <c r="N919" s="18">
        <f t="shared" ca="1" si="43"/>
        <v>57</v>
      </c>
      <c r="O919" s="9">
        <v>46114</v>
      </c>
      <c r="P919" s="9" t="str">
        <f t="shared" si="44"/>
        <v>⏳ Offen</v>
      </c>
      <c r="Q919" t="s">
        <v>841</v>
      </c>
      <c r="S919" t="s">
        <v>840</v>
      </c>
      <c r="T919" t="s">
        <v>888</v>
      </c>
      <c r="U919" t="s">
        <v>693</v>
      </c>
    </row>
    <row r="920" spans="2:21" x14ac:dyDescent="0.25">
      <c r="B920" t="s">
        <v>439</v>
      </c>
      <c r="C920" t="s">
        <v>524</v>
      </c>
      <c r="D920" t="str">
        <f>IF(_xlfn.XLOOKUP(C920, ABZ!A:A, ABZ!B:B, "", 0) = 0, "", _xlfn.XLOOKUP(C920, ABZ!A:A, ABZ!B:B, "", 0))</f>
        <v>ENT-PM-International</v>
      </c>
      <c r="E920" t="s">
        <v>834</v>
      </c>
      <c r="F920" t="s">
        <v>531</v>
      </c>
      <c r="I920">
        <f t="shared" si="42"/>
        <v>0</v>
      </c>
      <c r="J920" t="s">
        <v>873</v>
      </c>
      <c r="K920">
        <v>155912</v>
      </c>
      <c r="L920" s="9">
        <v>46107</v>
      </c>
      <c r="M920" s="9"/>
      <c r="N920" s="18">
        <f t="shared" ca="1" si="43"/>
        <v>57</v>
      </c>
      <c r="O920" s="9">
        <v>46114</v>
      </c>
      <c r="P920" s="9" t="str">
        <f t="shared" si="44"/>
        <v>⏳ Offen</v>
      </c>
      <c r="Q920" t="s">
        <v>843</v>
      </c>
      <c r="S920" t="s">
        <v>840</v>
      </c>
      <c r="T920" t="s">
        <v>888</v>
      </c>
      <c r="U920" t="s">
        <v>693</v>
      </c>
    </row>
    <row r="921" spans="2:21" x14ac:dyDescent="0.25">
      <c r="B921" s="3" t="s">
        <v>440</v>
      </c>
      <c r="C921" t="s">
        <v>466</v>
      </c>
      <c r="D921" t="str">
        <f>IF(_xlfn.XLOOKUP(C921, ABZ!A:A, ABZ!B:B, "", 0) = 0, "", _xlfn.XLOOKUP(C921, ABZ!A:A, ABZ!B:B, "", 0))</f>
        <v>VTR-CS-SER-PartnerCommunication</v>
      </c>
      <c r="E921" t="s">
        <v>834</v>
      </c>
      <c r="F921" t="s">
        <v>527</v>
      </c>
      <c r="I921">
        <f t="shared" si="42"/>
        <v>1</v>
      </c>
      <c r="J921" t="s">
        <v>875</v>
      </c>
      <c r="L921" s="9">
        <v>46107</v>
      </c>
      <c r="M921" s="9">
        <v>46108</v>
      </c>
      <c r="N921" s="18">
        <f t="shared" ca="1" si="43"/>
        <v>1</v>
      </c>
      <c r="O921" s="9">
        <v>46108</v>
      </c>
      <c r="P921" s="9" t="str">
        <f t="shared" si="44"/>
        <v>✅ Ja</v>
      </c>
      <c r="Q921" t="s">
        <v>836</v>
      </c>
      <c r="S921" t="s">
        <v>839</v>
      </c>
      <c r="T921" t="s">
        <v>540</v>
      </c>
      <c r="U921" t="s">
        <v>641</v>
      </c>
    </row>
    <row r="922" spans="2:21" x14ac:dyDescent="0.25">
      <c r="B922" s="3" t="s">
        <v>441</v>
      </c>
      <c r="C922" t="s">
        <v>458</v>
      </c>
      <c r="D922" t="str">
        <f>IF(_xlfn.XLOOKUP(C922, ABZ!A:A, ABZ!B:B, "", 0) = 0, "", _xlfn.XLOOKUP(C922, ABZ!A:A, ABZ!B:B, "", 0))</f>
        <v>VTR-CS-SER-PartnerCommunication</v>
      </c>
      <c r="E922" t="s">
        <v>834</v>
      </c>
      <c r="F922" t="s">
        <v>530</v>
      </c>
      <c r="I922">
        <f t="shared" si="42"/>
        <v>0</v>
      </c>
      <c r="J922" t="s">
        <v>875</v>
      </c>
      <c r="L922" s="9">
        <v>46108</v>
      </c>
      <c r="M922" s="9">
        <v>46119</v>
      </c>
      <c r="N922" s="18">
        <f t="shared" ca="1" si="43"/>
        <v>11</v>
      </c>
      <c r="O922" s="9">
        <v>46114</v>
      </c>
      <c r="P922" s="9" t="str">
        <f t="shared" si="44"/>
        <v>❌ Nein</v>
      </c>
      <c r="Q922" t="s">
        <v>839</v>
      </c>
      <c r="S922" t="s">
        <v>839</v>
      </c>
      <c r="T922" t="s">
        <v>540</v>
      </c>
      <c r="U922" t="s">
        <v>641</v>
      </c>
    </row>
    <row r="923" spans="2:21" x14ac:dyDescent="0.25">
      <c r="B923" s="3" t="s">
        <v>442</v>
      </c>
      <c r="C923" t="s">
        <v>466</v>
      </c>
      <c r="D923" t="str">
        <f>IF(_xlfn.XLOOKUP(C923, ABZ!A:A, ABZ!B:B, "", 0) = 0, "", _xlfn.XLOOKUP(C923, ABZ!A:A, ABZ!B:B, "", 0))</f>
        <v>VTR-CS-SER-PartnerCommunication</v>
      </c>
      <c r="E923" t="s">
        <v>835</v>
      </c>
      <c r="F923" t="s">
        <v>532</v>
      </c>
      <c r="H923">
        <v>2</v>
      </c>
      <c r="I923">
        <f t="shared" si="42"/>
        <v>0</v>
      </c>
      <c r="J923" t="s">
        <v>875</v>
      </c>
      <c r="L923" s="9">
        <v>46107</v>
      </c>
      <c r="M923" s="9">
        <v>46111</v>
      </c>
      <c r="N923" s="18">
        <f t="shared" ca="1" si="43"/>
        <v>4</v>
      </c>
      <c r="O923" s="9">
        <v>46114</v>
      </c>
      <c r="P923" s="9" t="str">
        <f t="shared" si="44"/>
        <v>✅ Ja</v>
      </c>
      <c r="Q923" t="s">
        <v>838</v>
      </c>
      <c r="S923" t="s">
        <v>840</v>
      </c>
      <c r="T923" t="s">
        <v>540</v>
      </c>
    </row>
    <row r="924" spans="2:21" x14ac:dyDescent="0.25">
      <c r="B924" s="3" t="s">
        <v>443</v>
      </c>
      <c r="C924" t="s">
        <v>466</v>
      </c>
      <c r="D924" t="str">
        <f>IF(_xlfn.XLOOKUP(C924, ABZ!A:A, ABZ!B:B, "", 0) = 0, "", _xlfn.XLOOKUP(C924, ABZ!A:A, ABZ!B:B, "", 0))</f>
        <v>VTR-CS-SER-PartnerCommunication</v>
      </c>
      <c r="E924" t="s">
        <v>835</v>
      </c>
      <c r="F924" t="s">
        <v>532</v>
      </c>
      <c r="H924">
        <v>2</v>
      </c>
      <c r="I924">
        <f t="shared" si="42"/>
        <v>0</v>
      </c>
      <c r="J924" t="s">
        <v>875</v>
      </c>
      <c r="L924" s="9">
        <v>46107</v>
      </c>
      <c r="M924" s="9">
        <v>46111</v>
      </c>
      <c r="N924" s="18">
        <f t="shared" ca="1" si="43"/>
        <v>4</v>
      </c>
      <c r="O924" s="9">
        <v>46114</v>
      </c>
      <c r="P924" s="9" t="str">
        <f t="shared" si="44"/>
        <v>✅ Ja</v>
      </c>
      <c r="Q924" t="s">
        <v>838</v>
      </c>
      <c r="S924" t="s">
        <v>838</v>
      </c>
      <c r="T924" t="s">
        <v>540</v>
      </c>
    </row>
    <row r="925" spans="2:21" x14ac:dyDescent="0.25">
      <c r="B925" s="3" t="s">
        <v>444</v>
      </c>
      <c r="C925" t="s">
        <v>466</v>
      </c>
      <c r="D925" t="str">
        <f>IF(_xlfn.XLOOKUP(C925, ABZ!A:A, ABZ!B:B, "", 0) = 0, "", _xlfn.XLOOKUP(C925, ABZ!A:A, ABZ!B:B, "", 0))</f>
        <v>VTR-CS-SER-PartnerCommunication</v>
      </c>
      <c r="E925" t="s">
        <v>834</v>
      </c>
      <c r="F925" t="s">
        <v>527</v>
      </c>
      <c r="I925">
        <f t="shared" si="42"/>
        <v>1</v>
      </c>
      <c r="J925" t="s">
        <v>875</v>
      </c>
      <c r="L925" s="9">
        <v>46108</v>
      </c>
      <c r="M925" s="9">
        <v>46108</v>
      </c>
      <c r="N925" s="18">
        <f t="shared" ca="1" si="43"/>
        <v>0</v>
      </c>
      <c r="O925" s="9">
        <v>46108</v>
      </c>
      <c r="P925" s="9" t="str">
        <f t="shared" si="44"/>
        <v>✅ Ja</v>
      </c>
      <c r="Q925" t="s">
        <v>836</v>
      </c>
      <c r="S925" t="s">
        <v>839</v>
      </c>
      <c r="T925" t="s">
        <v>540</v>
      </c>
      <c r="U925" t="s">
        <v>641</v>
      </c>
    </row>
    <row r="926" spans="2:21" x14ac:dyDescent="0.25">
      <c r="B926" s="3" t="s">
        <v>445</v>
      </c>
      <c r="C926" t="s">
        <v>518</v>
      </c>
      <c r="D926" t="str">
        <f>IF(_xlfn.XLOOKUP(C926, ABZ!A:A, ABZ!B:B, "", 0) = 0, "", _xlfn.XLOOKUP(C926, ABZ!A:A, ABZ!B:B, "", 0))</f>
        <v>KOM-PR</v>
      </c>
      <c r="E926" t="s">
        <v>835</v>
      </c>
      <c r="F926" t="s">
        <v>532</v>
      </c>
      <c r="H926">
        <v>2</v>
      </c>
      <c r="I926">
        <f t="shared" si="42"/>
        <v>1</v>
      </c>
      <c r="J926" t="s">
        <v>875</v>
      </c>
      <c r="L926" s="9">
        <v>46108</v>
      </c>
      <c r="M926" s="9">
        <v>46108</v>
      </c>
      <c r="N926" s="18">
        <f t="shared" ca="1" si="43"/>
        <v>0</v>
      </c>
      <c r="O926" s="9">
        <v>46108</v>
      </c>
      <c r="P926" s="9" t="str">
        <f t="shared" si="44"/>
        <v>✅ Ja</v>
      </c>
      <c r="Q926" t="s">
        <v>838</v>
      </c>
      <c r="S926" t="s">
        <v>839</v>
      </c>
      <c r="T926" t="s">
        <v>540</v>
      </c>
      <c r="U926" t="s">
        <v>694</v>
      </c>
    </row>
    <row r="927" spans="2:21" x14ac:dyDescent="0.25">
      <c r="B927" s="3" t="s">
        <v>446</v>
      </c>
      <c r="C927" t="s">
        <v>518</v>
      </c>
      <c r="D927" t="str">
        <f>IF(_xlfn.XLOOKUP(C927, ABZ!A:A, ABZ!B:B, "", 0) = 0, "", _xlfn.XLOOKUP(C927, ABZ!A:A, ABZ!B:B, "", 0))</f>
        <v>KOM-PR</v>
      </c>
      <c r="E927" t="s">
        <v>835</v>
      </c>
      <c r="F927" t="s">
        <v>532</v>
      </c>
      <c r="H927">
        <v>2</v>
      </c>
      <c r="I927">
        <f t="shared" si="42"/>
        <v>1</v>
      </c>
      <c r="J927" t="s">
        <v>875</v>
      </c>
      <c r="L927" s="9">
        <v>46108</v>
      </c>
      <c r="M927" s="9">
        <v>46108</v>
      </c>
      <c r="N927" s="18">
        <f t="shared" ca="1" si="43"/>
        <v>0</v>
      </c>
      <c r="O927" s="9">
        <v>46108</v>
      </c>
      <c r="P927" s="9" t="str">
        <f t="shared" si="44"/>
        <v>✅ Ja</v>
      </c>
      <c r="Q927" t="s">
        <v>838</v>
      </c>
      <c r="S927" t="s">
        <v>839</v>
      </c>
      <c r="T927" t="s">
        <v>540</v>
      </c>
      <c r="U927" t="s">
        <v>694</v>
      </c>
    </row>
    <row r="928" spans="2:21" x14ac:dyDescent="0.25">
      <c r="B928" s="3" t="s">
        <v>445</v>
      </c>
      <c r="C928" t="s">
        <v>525</v>
      </c>
      <c r="D928" t="str">
        <f>IF(_xlfn.XLOOKUP(C928, ABZ!A:A, ABZ!B:B, "", 0) = 0, "", _xlfn.XLOOKUP(C928, ABZ!A:A, ABZ!B:B, "", 0))</f>
        <v>KOM-PR</v>
      </c>
      <c r="E928" t="s">
        <v>834</v>
      </c>
      <c r="F928" t="s">
        <v>529</v>
      </c>
      <c r="I928">
        <f t="shared" si="42"/>
        <v>0</v>
      </c>
      <c r="J928" t="s">
        <v>875</v>
      </c>
      <c r="L928" s="9">
        <v>46108</v>
      </c>
      <c r="M928" s="9">
        <v>46113</v>
      </c>
      <c r="N928" s="18">
        <f t="shared" ca="1" si="43"/>
        <v>5</v>
      </c>
      <c r="O928" s="9">
        <v>46113</v>
      </c>
      <c r="P928" s="9" t="str">
        <f t="shared" si="44"/>
        <v>✅ Ja</v>
      </c>
      <c r="Q928" t="s">
        <v>846</v>
      </c>
      <c r="S928" t="s">
        <v>839</v>
      </c>
      <c r="T928" t="s">
        <v>540</v>
      </c>
      <c r="U928" t="s">
        <v>694</v>
      </c>
    </row>
    <row r="929" spans="2:21" x14ac:dyDescent="0.25">
      <c r="B929" s="3" t="s">
        <v>446</v>
      </c>
      <c r="C929" t="s">
        <v>525</v>
      </c>
      <c r="D929" t="str">
        <f>IF(_xlfn.XLOOKUP(C929, ABZ!A:A, ABZ!B:B, "", 0) = 0, "", _xlfn.XLOOKUP(C929, ABZ!A:A, ABZ!B:B, "", 0))</f>
        <v>KOM-PR</v>
      </c>
      <c r="E929" t="s">
        <v>834</v>
      </c>
      <c r="F929" t="s">
        <v>529</v>
      </c>
      <c r="I929">
        <f t="shared" si="42"/>
        <v>0</v>
      </c>
      <c r="J929" t="s">
        <v>875</v>
      </c>
      <c r="L929" s="9">
        <v>46108</v>
      </c>
      <c r="M929" s="9">
        <v>46113</v>
      </c>
      <c r="N929" s="18">
        <f t="shared" ca="1" si="43"/>
        <v>5</v>
      </c>
      <c r="O929" s="9">
        <v>46113</v>
      </c>
      <c r="P929" s="9" t="str">
        <f t="shared" si="44"/>
        <v>✅ Ja</v>
      </c>
      <c r="Q929" t="s">
        <v>846</v>
      </c>
      <c r="S929" t="s">
        <v>839</v>
      </c>
      <c r="T929" t="s">
        <v>540</v>
      </c>
      <c r="U929" t="s">
        <v>694</v>
      </c>
    </row>
    <row r="930" spans="2:21" x14ac:dyDescent="0.25">
      <c r="B930" s="3" t="s">
        <v>447</v>
      </c>
      <c r="C930" t="s">
        <v>504</v>
      </c>
      <c r="D930" t="str">
        <f>IF(_xlfn.XLOOKUP(C930, ABZ!A:A, ABZ!B:B, "", 0) = 0, "", _xlfn.XLOOKUP(C930, ABZ!A:A, ABZ!B:B, "", 0))</f>
        <v>SUP-TechnicalCommunication-TCO</v>
      </c>
      <c r="E930" t="s">
        <v>834</v>
      </c>
      <c r="F930" t="s">
        <v>529</v>
      </c>
      <c r="I930">
        <f t="shared" si="42"/>
        <v>0</v>
      </c>
      <c r="J930" t="s">
        <v>875</v>
      </c>
      <c r="L930" s="9">
        <v>46108</v>
      </c>
      <c r="M930" s="9">
        <v>46112</v>
      </c>
      <c r="N930" s="18">
        <f t="shared" ca="1" si="43"/>
        <v>4</v>
      </c>
      <c r="O930" s="9">
        <v>46113</v>
      </c>
      <c r="P930" s="9" t="str">
        <f t="shared" si="44"/>
        <v>✅ Ja</v>
      </c>
      <c r="Q930" t="s">
        <v>846</v>
      </c>
      <c r="S930" t="s">
        <v>841</v>
      </c>
      <c r="T930" t="s">
        <v>540</v>
      </c>
      <c r="U930" t="s">
        <v>691</v>
      </c>
    </row>
    <row r="931" spans="2:21" x14ac:dyDescent="0.25">
      <c r="B931" s="3" t="s">
        <v>447</v>
      </c>
      <c r="C931" t="s">
        <v>504</v>
      </c>
      <c r="D931" t="str">
        <f>IF(_xlfn.XLOOKUP(C931, ABZ!A:A, ABZ!B:B, "", 0) = 0, "", _xlfn.XLOOKUP(C931, ABZ!A:A, ABZ!B:B, "", 0))</f>
        <v>SUP-TechnicalCommunication-TCO</v>
      </c>
      <c r="E931" t="s">
        <v>834</v>
      </c>
      <c r="F931" t="s">
        <v>530</v>
      </c>
      <c r="I931">
        <f t="shared" si="42"/>
        <v>0</v>
      </c>
      <c r="J931" t="s">
        <v>875</v>
      </c>
      <c r="L931" s="9">
        <v>46108</v>
      </c>
      <c r="M931" s="9">
        <v>46112</v>
      </c>
      <c r="N931" s="18">
        <f t="shared" ca="1" si="43"/>
        <v>4</v>
      </c>
      <c r="O931" s="9">
        <v>46113</v>
      </c>
      <c r="P931" s="9" t="str">
        <f t="shared" si="44"/>
        <v>✅ Ja</v>
      </c>
      <c r="Q931" t="s">
        <v>839</v>
      </c>
      <c r="S931" t="s">
        <v>841</v>
      </c>
      <c r="T931" t="s">
        <v>540</v>
      </c>
      <c r="U931" t="s">
        <v>691</v>
      </c>
    </row>
    <row r="932" spans="2:21" x14ac:dyDescent="0.25">
      <c r="B932" s="3" t="s">
        <v>447</v>
      </c>
      <c r="C932" t="s">
        <v>504</v>
      </c>
      <c r="D932" t="str">
        <f>IF(_xlfn.XLOOKUP(C932, ABZ!A:A, ABZ!B:B, "", 0) = 0, "", _xlfn.XLOOKUP(C932, ABZ!A:A, ABZ!B:B, "", 0))</f>
        <v>SUP-TechnicalCommunication-TCO</v>
      </c>
      <c r="E932" t="s">
        <v>834</v>
      </c>
      <c r="F932" t="s">
        <v>531</v>
      </c>
      <c r="I932">
        <f t="shared" si="42"/>
        <v>0</v>
      </c>
      <c r="J932" t="s">
        <v>875</v>
      </c>
      <c r="L932" s="9">
        <v>46108</v>
      </c>
      <c r="M932" s="9">
        <v>46112</v>
      </c>
      <c r="N932" s="18">
        <f t="shared" ca="1" si="43"/>
        <v>4</v>
      </c>
      <c r="O932" s="9">
        <v>46113</v>
      </c>
      <c r="P932" s="9" t="str">
        <f t="shared" si="44"/>
        <v>✅ Ja</v>
      </c>
      <c r="Q932" t="s">
        <v>840</v>
      </c>
      <c r="S932" t="s">
        <v>841</v>
      </c>
      <c r="T932" t="s">
        <v>540</v>
      </c>
      <c r="U932" t="s">
        <v>691</v>
      </c>
    </row>
    <row r="933" spans="2:21" x14ac:dyDescent="0.25">
      <c r="B933" s="3" t="s">
        <v>447</v>
      </c>
      <c r="C933" t="s">
        <v>504</v>
      </c>
      <c r="D933" t="str">
        <f>IF(_xlfn.XLOOKUP(C933, ABZ!A:A, ABZ!B:B, "", 0) = 0, "", _xlfn.XLOOKUP(C933, ABZ!A:A, ABZ!B:B, "", 0))</f>
        <v>SUP-TechnicalCommunication-TCO</v>
      </c>
      <c r="E933" t="s">
        <v>834</v>
      </c>
      <c r="F933" t="s">
        <v>528</v>
      </c>
      <c r="I933">
        <f t="shared" si="42"/>
        <v>0</v>
      </c>
      <c r="J933" t="s">
        <v>875</v>
      </c>
      <c r="L933" s="9">
        <v>46108</v>
      </c>
      <c r="M933" s="9">
        <v>46112</v>
      </c>
      <c r="N933" s="18">
        <f t="shared" ca="1" si="43"/>
        <v>4</v>
      </c>
      <c r="O933" s="9">
        <v>46113</v>
      </c>
      <c r="P933" s="9" t="str">
        <f t="shared" si="44"/>
        <v>✅ Ja</v>
      </c>
      <c r="Q933" t="s">
        <v>841</v>
      </c>
      <c r="S933" t="s">
        <v>841</v>
      </c>
      <c r="T933" t="s">
        <v>540</v>
      </c>
      <c r="U933" t="s">
        <v>691</v>
      </c>
    </row>
    <row r="934" spans="2:21" x14ac:dyDescent="0.25">
      <c r="B934" s="3" t="s">
        <v>447</v>
      </c>
      <c r="C934" t="s">
        <v>504</v>
      </c>
      <c r="D934" t="str">
        <f>IF(_xlfn.XLOOKUP(C934, ABZ!A:A, ABZ!B:B, "", 0) = 0, "", _xlfn.XLOOKUP(C934, ABZ!A:A, ABZ!B:B, "", 0))</f>
        <v>SUP-TechnicalCommunication-TCO</v>
      </c>
      <c r="E934" t="s">
        <v>834</v>
      </c>
      <c r="F934" t="s">
        <v>527</v>
      </c>
      <c r="I934">
        <f t="shared" si="42"/>
        <v>0</v>
      </c>
      <c r="J934" t="s">
        <v>875</v>
      </c>
      <c r="L934" s="9">
        <v>46108</v>
      </c>
      <c r="M934" s="9">
        <v>46112</v>
      </c>
      <c r="N934" s="18">
        <f t="shared" ca="1" si="43"/>
        <v>4</v>
      </c>
      <c r="O934" s="9">
        <v>46113</v>
      </c>
      <c r="P934" s="9" t="str">
        <f t="shared" si="44"/>
        <v>✅ Ja</v>
      </c>
      <c r="Q934" t="s">
        <v>836</v>
      </c>
      <c r="S934" t="s">
        <v>841</v>
      </c>
      <c r="T934" t="s">
        <v>540</v>
      </c>
      <c r="U934" t="s">
        <v>691</v>
      </c>
    </row>
    <row r="935" spans="2:21" x14ac:dyDescent="0.25">
      <c r="B935" s="3" t="s">
        <v>326</v>
      </c>
      <c r="C935" t="s">
        <v>472</v>
      </c>
      <c r="D935" t="str">
        <f>IF(_xlfn.XLOOKUP(C935, ABZ!A:A, ABZ!B:B, "", 0) = 0, "", _xlfn.XLOOKUP(C935, ABZ!A:A, ABZ!B:B, "", 0))</f>
        <v>D2C-MarketingContent</v>
      </c>
      <c r="E935" t="s">
        <v>834</v>
      </c>
      <c r="F935" t="s">
        <v>529</v>
      </c>
      <c r="I935">
        <f t="shared" si="42"/>
        <v>0</v>
      </c>
      <c r="J935" t="s">
        <v>875</v>
      </c>
      <c r="L935" s="9">
        <v>46111</v>
      </c>
      <c r="M935" s="9">
        <v>46113</v>
      </c>
      <c r="N935" s="18">
        <f t="shared" ca="1" si="43"/>
        <v>2</v>
      </c>
      <c r="O935" s="9">
        <v>46119</v>
      </c>
      <c r="P935" s="9" t="str">
        <f t="shared" si="44"/>
        <v>✅ Ja</v>
      </c>
      <c r="Q935" t="s">
        <v>837</v>
      </c>
      <c r="S935" t="s">
        <v>841</v>
      </c>
      <c r="T935" t="s">
        <v>540</v>
      </c>
      <c r="U935" t="s">
        <v>695</v>
      </c>
    </row>
    <row r="936" spans="2:21" x14ac:dyDescent="0.25">
      <c r="B936" s="3" t="s">
        <v>326</v>
      </c>
      <c r="C936" t="s">
        <v>472</v>
      </c>
      <c r="D936" t="str">
        <f>IF(_xlfn.XLOOKUP(C936, ABZ!A:A, ABZ!B:B, "", 0) = 0, "", _xlfn.XLOOKUP(C936, ABZ!A:A, ABZ!B:B, "", 0))</f>
        <v>D2C-MarketingContent</v>
      </c>
      <c r="E936" t="s">
        <v>834</v>
      </c>
      <c r="F936" t="s">
        <v>530</v>
      </c>
      <c r="I936">
        <f t="shared" si="42"/>
        <v>0</v>
      </c>
      <c r="J936" t="s">
        <v>875</v>
      </c>
      <c r="L936" s="9">
        <v>46111</v>
      </c>
      <c r="M936" s="9">
        <v>46114</v>
      </c>
      <c r="N936" s="18">
        <f t="shared" ca="1" si="43"/>
        <v>3</v>
      </c>
      <c r="O936" s="9">
        <v>46119</v>
      </c>
      <c r="P936" s="9" t="str">
        <f t="shared" si="44"/>
        <v>✅ Ja</v>
      </c>
      <c r="Q936" t="s">
        <v>844</v>
      </c>
      <c r="S936" t="s">
        <v>841</v>
      </c>
      <c r="T936" t="s">
        <v>540</v>
      </c>
      <c r="U936" t="s">
        <v>695</v>
      </c>
    </row>
    <row r="937" spans="2:21" x14ac:dyDescent="0.25">
      <c r="B937" s="3" t="s">
        <v>326</v>
      </c>
      <c r="C937" t="s">
        <v>472</v>
      </c>
      <c r="D937" t="str">
        <f>IF(_xlfn.XLOOKUP(C937, ABZ!A:A, ABZ!B:B, "", 0) = 0, "", _xlfn.XLOOKUP(C937, ABZ!A:A, ABZ!B:B, "", 0))</f>
        <v>D2C-MarketingContent</v>
      </c>
      <c r="E937" t="s">
        <v>834</v>
      </c>
      <c r="F937" t="s">
        <v>531</v>
      </c>
      <c r="I937">
        <f t="shared" si="42"/>
        <v>0</v>
      </c>
      <c r="J937" t="s">
        <v>875</v>
      </c>
      <c r="L937" s="9">
        <v>46111</v>
      </c>
      <c r="M937" s="9">
        <v>46114</v>
      </c>
      <c r="N937" s="18">
        <f t="shared" ca="1" si="43"/>
        <v>3</v>
      </c>
      <c r="O937" s="9">
        <v>46119</v>
      </c>
      <c r="P937" s="9" t="str">
        <f t="shared" si="44"/>
        <v>✅ Ja</v>
      </c>
      <c r="Q937" t="s">
        <v>843</v>
      </c>
      <c r="S937" t="s">
        <v>841</v>
      </c>
      <c r="T937" t="s">
        <v>540</v>
      </c>
      <c r="U937" t="s">
        <v>695</v>
      </c>
    </row>
    <row r="938" spans="2:21" x14ac:dyDescent="0.25">
      <c r="B938" s="3" t="s">
        <v>326</v>
      </c>
      <c r="C938" t="s">
        <v>472</v>
      </c>
      <c r="D938" t="str">
        <f>IF(_xlfn.XLOOKUP(C938, ABZ!A:A, ABZ!B:B, "", 0) = 0, "", _xlfn.XLOOKUP(C938, ABZ!A:A, ABZ!B:B, "", 0))</f>
        <v>D2C-MarketingContent</v>
      </c>
      <c r="E938" t="s">
        <v>834</v>
      </c>
      <c r="F938" t="s">
        <v>528</v>
      </c>
      <c r="I938">
        <f t="shared" si="42"/>
        <v>0</v>
      </c>
      <c r="J938" t="s">
        <v>875</v>
      </c>
      <c r="L938" s="9">
        <v>46111</v>
      </c>
      <c r="M938" s="9">
        <v>46113</v>
      </c>
      <c r="N938" s="18">
        <f t="shared" ca="1" si="43"/>
        <v>2</v>
      </c>
      <c r="O938" s="9">
        <v>46119</v>
      </c>
      <c r="P938" s="9" t="str">
        <f t="shared" si="44"/>
        <v>✅ Ja</v>
      </c>
      <c r="Q938" t="s">
        <v>841</v>
      </c>
      <c r="S938" t="s">
        <v>841</v>
      </c>
      <c r="T938" t="s">
        <v>540</v>
      </c>
      <c r="U938" t="s">
        <v>695</v>
      </c>
    </row>
    <row r="939" spans="2:21" x14ac:dyDescent="0.25">
      <c r="B939" s="3" t="s">
        <v>326</v>
      </c>
      <c r="C939" t="s">
        <v>472</v>
      </c>
      <c r="D939" t="str">
        <f>IF(_xlfn.XLOOKUP(C939, ABZ!A:A, ABZ!B:B, "", 0) = 0, "", _xlfn.XLOOKUP(C939, ABZ!A:A, ABZ!B:B, "", 0))</f>
        <v>D2C-MarketingContent</v>
      </c>
      <c r="E939" t="s">
        <v>834</v>
      </c>
      <c r="F939" t="s">
        <v>527</v>
      </c>
      <c r="I939">
        <f t="shared" si="42"/>
        <v>0</v>
      </c>
      <c r="J939" t="s">
        <v>875</v>
      </c>
      <c r="L939" s="9">
        <v>46111</v>
      </c>
      <c r="M939" s="9"/>
      <c r="N939" s="18">
        <f t="shared" ca="1" si="43"/>
        <v>53</v>
      </c>
      <c r="O939" s="9">
        <v>46119</v>
      </c>
      <c r="P939" s="9" t="str">
        <f t="shared" si="44"/>
        <v>⏳ Offen</v>
      </c>
      <c r="S939" t="s">
        <v>841</v>
      </c>
      <c r="T939" t="s">
        <v>540</v>
      </c>
      <c r="U939" t="s">
        <v>695</v>
      </c>
    </row>
    <row r="940" spans="2:21" x14ac:dyDescent="0.25">
      <c r="B940" s="3" t="s">
        <v>327</v>
      </c>
      <c r="C940" t="s">
        <v>472</v>
      </c>
      <c r="D940" t="str">
        <f>IF(_xlfn.XLOOKUP(C940, ABZ!A:A, ABZ!B:B, "", 0) = 0, "", _xlfn.XLOOKUP(C940, ABZ!A:A, ABZ!B:B, "", 0))</f>
        <v>D2C-MarketingContent</v>
      </c>
      <c r="E940" t="s">
        <v>834</v>
      </c>
      <c r="F940" t="s">
        <v>529</v>
      </c>
      <c r="I940">
        <f t="shared" si="42"/>
        <v>0</v>
      </c>
      <c r="J940" t="s">
        <v>875</v>
      </c>
      <c r="L940" s="9">
        <v>46111</v>
      </c>
      <c r="M940" s="9">
        <v>46113</v>
      </c>
      <c r="N940" s="18">
        <f t="shared" ca="1" si="43"/>
        <v>2</v>
      </c>
      <c r="O940" s="9">
        <v>46119</v>
      </c>
      <c r="P940" s="9" t="str">
        <f t="shared" si="44"/>
        <v>✅ Ja</v>
      </c>
      <c r="Q940" t="s">
        <v>837</v>
      </c>
      <c r="S940" t="s">
        <v>841</v>
      </c>
      <c r="T940" t="s">
        <v>540</v>
      </c>
      <c r="U940" t="s">
        <v>695</v>
      </c>
    </row>
    <row r="941" spans="2:21" x14ac:dyDescent="0.25">
      <c r="B941" s="3" t="s">
        <v>327</v>
      </c>
      <c r="C941" t="s">
        <v>472</v>
      </c>
      <c r="D941" t="str">
        <f>IF(_xlfn.XLOOKUP(C941, ABZ!A:A, ABZ!B:B, "", 0) = 0, "", _xlfn.XLOOKUP(C941, ABZ!A:A, ABZ!B:B, "", 0))</f>
        <v>D2C-MarketingContent</v>
      </c>
      <c r="E941" t="s">
        <v>834</v>
      </c>
      <c r="F941" t="s">
        <v>530</v>
      </c>
      <c r="I941">
        <f t="shared" si="42"/>
        <v>0</v>
      </c>
      <c r="J941" t="s">
        <v>875</v>
      </c>
      <c r="L941" s="9">
        <v>46111</v>
      </c>
      <c r="M941" s="9">
        <v>46114</v>
      </c>
      <c r="N941" s="18">
        <f t="shared" ca="1" si="43"/>
        <v>3</v>
      </c>
      <c r="O941" s="9">
        <v>46119</v>
      </c>
      <c r="P941" s="9" t="str">
        <f t="shared" si="44"/>
        <v>✅ Ja</v>
      </c>
      <c r="Q941" t="s">
        <v>839</v>
      </c>
      <c r="S941" t="s">
        <v>841</v>
      </c>
      <c r="T941" t="s">
        <v>540</v>
      </c>
      <c r="U941" t="s">
        <v>695</v>
      </c>
    </row>
    <row r="942" spans="2:21" x14ac:dyDescent="0.25">
      <c r="B942" s="3" t="s">
        <v>327</v>
      </c>
      <c r="C942" t="s">
        <v>472</v>
      </c>
      <c r="D942" t="str">
        <f>IF(_xlfn.XLOOKUP(C942, ABZ!A:A, ABZ!B:B, "", 0) = 0, "", _xlfn.XLOOKUP(C942, ABZ!A:A, ABZ!B:B, "", 0))</f>
        <v>D2C-MarketingContent</v>
      </c>
      <c r="E942" t="s">
        <v>834</v>
      </c>
      <c r="F942" t="s">
        <v>531</v>
      </c>
      <c r="I942">
        <f t="shared" si="42"/>
        <v>0</v>
      </c>
      <c r="J942" t="s">
        <v>875</v>
      </c>
      <c r="L942" s="9">
        <v>46111</v>
      </c>
      <c r="M942" s="9">
        <v>46114</v>
      </c>
      <c r="N942" s="18">
        <f t="shared" ca="1" si="43"/>
        <v>3</v>
      </c>
      <c r="O942" s="9">
        <v>46119</v>
      </c>
      <c r="P942" s="9" t="str">
        <f t="shared" si="44"/>
        <v>✅ Ja</v>
      </c>
      <c r="Q942" t="s">
        <v>843</v>
      </c>
      <c r="S942" t="s">
        <v>841</v>
      </c>
      <c r="T942" t="s">
        <v>540</v>
      </c>
      <c r="U942" t="s">
        <v>695</v>
      </c>
    </row>
    <row r="943" spans="2:21" x14ac:dyDescent="0.25">
      <c r="B943" s="3" t="s">
        <v>327</v>
      </c>
      <c r="C943" t="s">
        <v>472</v>
      </c>
      <c r="D943" t="str">
        <f>IF(_xlfn.XLOOKUP(C943, ABZ!A:A, ABZ!B:B, "", 0) = 0, "", _xlfn.XLOOKUP(C943, ABZ!A:A, ABZ!B:B, "", 0))</f>
        <v>D2C-MarketingContent</v>
      </c>
      <c r="E943" t="s">
        <v>834</v>
      </c>
      <c r="F943" t="s">
        <v>528</v>
      </c>
      <c r="I943">
        <f t="shared" si="42"/>
        <v>0</v>
      </c>
      <c r="J943" t="s">
        <v>875</v>
      </c>
      <c r="L943" s="9">
        <v>46111</v>
      </c>
      <c r="M943" s="9">
        <v>46113</v>
      </c>
      <c r="N943" s="18">
        <f t="shared" ca="1" si="43"/>
        <v>2</v>
      </c>
      <c r="O943" s="9">
        <v>46119</v>
      </c>
      <c r="P943" s="9" t="str">
        <f t="shared" si="44"/>
        <v>✅ Ja</v>
      </c>
      <c r="Q943" t="s">
        <v>841</v>
      </c>
      <c r="S943" t="s">
        <v>841</v>
      </c>
      <c r="T943" t="s">
        <v>540</v>
      </c>
      <c r="U943" t="s">
        <v>695</v>
      </c>
    </row>
    <row r="944" spans="2:21" x14ac:dyDescent="0.25">
      <c r="B944" s="3" t="s">
        <v>327</v>
      </c>
      <c r="C944" t="s">
        <v>472</v>
      </c>
      <c r="D944" t="str">
        <f>IF(_xlfn.XLOOKUP(C944, ABZ!A:A, ABZ!B:B, "", 0) = 0, "", _xlfn.XLOOKUP(C944, ABZ!A:A, ABZ!B:B, "", 0))</f>
        <v>D2C-MarketingContent</v>
      </c>
      <c r="E944" t="s">
        <v>834</v>
      </c>
      <c r="F944" t="s">
        <v>527</v>
      </c>
      <c r="I944">
        <f t="shared" si="42"/>
        <v>0</v>
      </c>
      <c r="J944" t="s">
        <v>875</v>
      </c>
      <c r="L944" s="9">
        <v>46111</v>
      </c>
      <c r="M944" s="9"/>
      <c r="N944" s="18">
        <f t="shared" ca="1" si="43"/>
        <v>53</v>
      </c>
      <c r="O944" s="9">
        <v>46119</v>
      </c>
      <c r="P944" s="9" t="str">
        <f t="shared" si="44"/>
        <v>⏳ Offen</v>
      </c>
      <c r="S944" t="s">
        <v>841</v>
      </c>
      <c r="T944" t="s">
        <v>540</v>
      </c>
      <c r="U944" t="s">
        <v>695</v>
      </c>
    </row>
    <row r="945" spans="2:21" x14ac:dyDescent="0.25">
      <c r="B945" s="17" t="s">
        <v>448</v>
      </c>
      <c r="C945" t="s">
        <v>472</v>
      </c>
      <c r="D945" t="str">
        <f>IF(_xlfn.XLOOKUP(C945, ABZ!A:A, ABZ!B:B, "", 0) = 0, "", _xlfn.XLOOKUP(C945, ABZ!A:A, ABZ!B:B, "", 0))</f>
        <v>D2C-MarketingContent</v>
      </c>
      <c r="E945" t="s">
        <v>834</v>
      </c>
      <c r="F945" t="s">
        <v>529</v>
      </c>
      <c r="I945">
        <f t="shared" si="42"/>
        <v>0</v>
      </c>
      <c r="J945" t="s">
        <v>875</v>
      </c>
      <c r="L945" s="9">
        <v>46111</v>
      </c>
      <c r="M945" s="9">
        <v>46113</v>
      </c>
      <c r="N945" s="18">
        <f t="shared" ca="1" si="43"/>
        <v>2</v>
      </c>
      <c r="O945" s="9">
        <v>46119</v>
      </c>
      <c r="P945" s="9" t="str">
        <f t="shared" si="44"/>
        <v>✅ Ja</v>
      </c>
      <c r="Q945" t="s">
        <v>846</v>
      </c>
      <c r="S945" t="s">
        <v>841</v>
      </c>
      <c r="T945" t="s">
        <v>540</v>
      </c>
      <c r="U945" t="s">
        <v>695</v>
      </c>
    </row>
    <row r="946" spans="2:21" x14ac:dyDescent="0.25">
      <c r="B946" s="17" t="s">
        <v>448</v>
      </c>
      <c r="C946" t="s">
        <v>472</v>
      </c>
      <c r="D946" t="str">
        <f>IF(_xlfn.XLOOKUP(C946, ABZ!A:A, ABZ!B:B, "", 0) = 0, "", _xlfn.XLOOKUP(C946, ABZ!A:A, ABZ!B:B, "", 0))</f>
        <v>D2C-MarketingContent</v>
      </c>
      <c r="E946" t="s">
        <v>834</v>
      </c>
      <c r="F946" t="s">
        <v>530</v>
      </c>
      <c r="I946">
        <f t="shared" si="42"/>
        <v>0</v>
      </c>
      <c r="J946" t="s">
        <v>875</v>
      </c>
      <c r="L946" s="9">
        <v>46111</v>
      </c>
      <c r="M946" s="9">
        <v>46114</v>
      </c>
      <c r="N946" s="18">
        <f t="shared" ca="1" si="43"/>
        <v>3</v>
      </c>
      <c r="O946" s="9">
        <v>46119</v>
      </c>
      <c r="P946" s="9" t="str">
        <f t="shared" si="44"/>
        <v>✅ Ja</v>
      </c>
      <c r="Q946" t="s">
        <v>839</v>
      </c>
      <c r="S946" t="s">
        <v>841</v>
      </c>
      <c r="T946" t="s">
        <v>540</v>
      </c>
      <c r="U946" t="s">
        <v>695</v>
      </c>
    </row>
    <row r="947" spans="2:21" x14ac:dyDescent="0.25">
      <c r="B947" s="17" t="s">
        <v>448</v>
      </c>
      <c r="C947" t="s">
        <v>472</v>
      </c>
      <c r="D947" t="str">
        <f>IF(_xlfn.XLOOKUP(C947, ABZ!A:A, ABZ!B:B, "", 0) = 0, "", _xlfn.XLOOKUP(C947, ABZ!A:A, ABZ!B:B, "", 0))</f>
        <v>D2C-MarketingContent</v>
      </c>
      <c r="E947" t="s">
        <v>834</v>
      </c>
      <c r="F947" t="s">
        <v>531</v>
      </c>
      <c r="I947">
        <f t="shared" si="42"/>
        <v>0</v>
      </c>
      <c r="J947" t="s">
        <v>875</v>
      </c>
      <c r="L947" s="9">
        <v>46111</v>
      </c>
      <c r="M947" s="9">
        <v>46114</v>
      </c>
      <c r="N947" s="18">
        <f t="shared" ca="1" si="43"/>
        <v>3</v>
      </c>
      <c r="O947" s="9">
        <v>46119</v>
      </c>
      <c r="P947" s="9" t="str">
        <f t="shared" si="44"/>
        <v>✅ Ja</v>
      </c>
      <c r="Q947" t="s">
        <v>843</v>
      </c>
      <c r="S947" t="s">
        <v>841</v>
      </c>
      <c r="T947" t="s">
        <v>540</v>
      </c>
      <c r="U947" t="s">
        <v>695</v>
      </c>
    </row>
    <row r="948" spans="2:21" x14ac:dyDescent="0.25">
      <c r="B948" s="17" t="s">
        <v>448</v>
      </c>
      <c r="C948" t="s">
        <v>472</v>
      </c>
      <c r="D948" t="str">
        <f>IF(_xlfn.XLOOKUP(C948, ABZ!A:A, ABZ!B:B, "", 0) = 0, "", _xlfn.XLOOKUP(C948, ABZ!A:A, ABZ!B:B, "", 0))</f>
        <v>D2C-MarketingContent</v>
      </c>
      <c r="E948" t="s">
        <v>834</v>
      </c>
      <c r="F948" t="s">
        <v>528</v>
      </c>
      <c r="I948">
        <f t="shared" si="42"/>
        <v>0</v>
      </c>
      <c r="J948" t="s">
        <v>875</v>
      </c>
      <c r="L948" s="9">
        <v>46111</v>
      </c>
      <c r="M948" s="9">
        <v>46113</v>
      </c>
      <c r="N948" s="18">
        <f t="shared" ca="1" si="43"/>
        <v>2</v>
      </c>
      <c r="O948" s="9">
        <v>46119</v>
      </c>
      <c r="P948" s="9" t="str">
        <f t="shared" si="44"/>
        <v>✅ Ja</v>
      </c>
      <c r="Q948" t="s">
        <v>841</v>
      </c>
      <c r="S948" t="s">
        <v>841</v>
      </c>
      <c r="T948" t="s">
        <v>540</v>
      </c>
      <c r="U948" t="s">
        <v>695</v>
      </c>
    </row>
    <row r="949" spans="2:21" x14ac:dyDescent="0.25">
      <c r="B949" s="3" t="s">
        <v>448</v>
      </c>
      <c r="C949" t="s">
        <v>472</v>
      </c>
      <c r="D949" t="str">
        <f>IF(_xlfn.XLOOKUP(C949, ABZ!A:A, ABZ!B:B, "", 0) = 0, "", _xlfn.XLOOKUP(C949, ABZ!A:A, ABZ!B:B, "", 0))</f>
        <v>D2C-MarketingContent</v>
      </c>
      <c r="E949" t="s">
        <v>834</v>
      </c>
      <c r="F949" t="s">
        <v>528</v>
      </c>
      <c r="I949">
        <f t="shared" si="42"/>
        <v>0</v>
      </c>
      <c r="J949" t="s">
        <v>875</v>
      </c>
      <c r="L949" s="9">
        <v>46111</v>
      </c>
      <c r="M949" s="9"/>
      <c r="N949" s="18">
        <f t="shared" ca="1" si="43"/>
        <v>53</v>
      </c>
      <c r="O949" s="9">
        <v>46119</v>
      </c>
      <c r="P949" s="9" t="str">
        <f t="shared" si="44"/>
        <v>⏳ Offen</v>
      </c>
      <c r="Q949" t="s">
        <v>841</v>
      </c>
      <c r="S949" t="s">
        <v>841</v>
      </c>
      <c r="T949" t="s">
        <v>540</v>
      </c>
      <c r="U949" t="s">
        <v>695</v>
      </c>
    </row>
    <row r="950" spans="2:21" x14ac:dyDescent="0.25">
      <c r="B950" s="3" t="s">
        <v>449</v>
      </c>
      <c r="C950" t="s">
        <v>504</v>
      </c>
      <c r="D950" t="str">
        <f>IF(_xlfn.XLOOKUP(C950, ABZ!A:A, ABZ!B:B, "", 0) = 0, "", _xlfn.XLOOKUP(C950, ABZ!A:A, ABZ!B:B, "", 0))</f>
        <v>SUP-TechnicalCommunication-TCO</v>
      </c>
      <c r="E950" t="s">
        <v>834</v>
      </c>
      <c r="F950" t="s">
        <v>528</v>
      </c>
      <c r="I950">
        <f t="shared" si="42"/>
        <v>0</v>
      </c>
      <c r="J950" t="s">
        <v>875</v>
      </c>
      <c r="L950" s="9">
        <v>46111</v>
      </c>
      <c r="M950" s="9">
        <v>46112</v>
      </c>
      <c r="N950" s="18">
        <f t="shared" ca="1" si="43"/>
        <v>1</v>
      </c>
      <c r="O950" s="9">
        <v>46122</v>
      </c>
      <c r="P950" s="9" t="str">
        <f t="shared" si="44"/>
        <v>✅ Ja</v>
      </c>
      <c r="Q950" t="s">
        <v>841</v>
      </c>
      <c r="S950" t="s">
        <v>841</v>
      </c>
      <c r="T950" t="s">
        <v>540</v>
      </c>
      <c r="U950" t="s">
        <v>695</v>
      </c>
    </row>
    <row r="951" spans="2:21" x14ac:dyDescent="0.25">
      <c r="B951" s="3" t="s">
        <v>449</v>
      </c>
      <c r="C951" t="s">
        <v>504</v>
      </c>
      <c r="D951" t="str">
        <f>IF(_xlfn.XLOOKUP(C951, ABZ!A:A, ABZ!B:B, "", 0) = 0, "", _xlfn.XLOOKUP(C951, ABZ!A:A, ABZ!B:B, "", 0))</f>
        <v>SUP-TechnicalCommunication-TCO</v>
      </c>
      <c r="E951" t="s">
        <v>834</v>
      </c>
      <c r="F951" t="s">
        <v>528</v>
      </c>
      <c r="I951">
        <f t="shared" si="42"/>
        <v>0</v>
      </c>
      <c r="J951" t="s">
        <v>875</v>
      </c>
      <c r="L951" s="9">
        <v>46111</v>
      </c>
      <c r="M951" s="9">
        <v>46112</v>
      </c>
      <c r="N951" s="18">
        <f t="shared" ca="1" si="43"/>
        <v>1</v>
      </c>
      <c r="O951" s="9">
        <v>46122</v>
      </c>
      <c r="P951" s="9" t="str">
        <f t="shared" si="44"/>
        <v>✅ Ja</v>
      </c>
      <c r="Q951" t="s">
        <v>841</v>
      </c>
      <c r="S951" t="s">
        <v>841</v>
      </c>
      <c r="T951" t="s">
        <v>540</v>
      </c>
      <c r="U951" t="s">
        <v>695</v>
      </c>
    </row>
    <row r="952" spans="2:21" x14ac:dyDescent="0.25">
      <c r="B952" s="3" t="s">
        <v>449</v>
      </c>
      <c r="C952" t="s">
        <v>504</v>
      </c>
      <c r="D952" t="str">
        <f>IF(_xlfn.XLOOKUP(C952, ABZ!A:A, ABZ!B:B, "", 0) = 0, "", _xlfn.XLOOKUP(C952, ABZ!A:A, ABZ!B:B, "", 0))</f>
        <v>SUP-TechnicalCommunication-TCO</v>
      </c>
      <c r="E952" t="s">
        <v>834</v>
      </c>
      <c r="F952" t="s">
        <v>528</v>
      </c>
      <c r="I952">
        <f t="shared" si="42"/>
        <v>0</v>
      </c>
      <c r="J952" t="s">
        <v>875</v>
      </c>
      <c r="L952" s="9">
        <v>46111</v>
      </c>
      <c r="M952" s="9">
        <v>46112</v>
      </c>
      <c r="N952" s="18">
        <f t="shared" ca="1" si="43"/>
        <v>1</v>
      </c>
      <c r="O952" s="9">
        <v>46122</v>
      </c>
      <c r="P952" s="9" t="str">
        <f t="shared" si="44"/>
        <v>✅ Ja</v>
      </c>
      <c r="Q952" t="s">
        <v>841</v>
      </c>
      <c r="S952" t="s">
        <v>841</v>
      </c>
      <c r="T952" t="s">
        <v>540</v>
      </c>
      <c r="U952" t="s">
        <v>695</v>
      </c>
    </row>
    <row r="953" spans="2:21" x14ac:dyDescent="0.25">
      <c r="B953" s="3" t="s">
        <v>449</v>
      </c>
      <c r="C953" t="s">
        <v>504</v>
      </c>
      <c r="D953" t="str">
        <f>IF(_xlfn.XLOOKUP(C953, ABZ!A:A, ABZ!B:B, "", 0) = 0, "", _xlfn.XLOOKUP(C953, ABZ!A:A, ABZ!B:B, "", 0))</f>
        <v>SUP-TechnicalCommunication-TCO</v>
      </c>
      <c r="E953" t="s">
        <v>834</v>
      </c>
      <c r="F953" t="s">
        <v>528</v>
      </c>
      <c r="I953">
        <f t="shared" si="42"/>
        <v>0</v>
      </c>
      <c r="J953" t="s">
        <v>875</v>
      </c>
      <c r="L953" s="9">
        <v>46111</v>
      </c>
      <c r="M953" s="9">
        <v>46112</v>
      </c>
      <c r="N953" s="18">
        <f t="shared" ca="1" si="43"/>
        <v>1</v>
      </c>
      <c r="O953" s="9">
        <v>46122</v>
      </c>
      <c r="P953" s="9" t="str">
        <f t="shared" si="44"/>
        <v>✅ Ja</v>
      </c>
      <c r="Q953" t="s">
        <v>841</v>
      </c>
      <c r="S953" t="s">
        <v>841</v>
      </c>
      <c r="T953" t="s">
        <v>540</v>
      </c>
      <c r="U953" t="s">
        <v>695</v>
      </c>
    </row>
    <row r="954" spans="2:21" x14ac:dyDescent="0.25">
      <c r="B954" s="3" t="s">
        <v>449</v>
      </c>
      <c r="C954" t="s">
        <v>504</v>
      </c>
      <c r="D954" t="str">
        <f>IF(_xlfn.XLOOKUP(C954, ABZ!A:A, ABZ!B:B, "", 0) = 0, "", _xlfn.XLOOKUP(C954, ABZ!A:A, ABZ!B:B, "", 0))</f>
        <v>SUP-TechnicalCommunication-TCO</v>
      </c>
      <c r="E954" t="s">
        <v>834</v>
      </c>
      <c r="F954" t="s">
        <v>528</v>
      </c>
      <c r="I954">
        <f t="shared" si="42"/>
        <v>0</v>
      </c>
      <c r="J954" t="s">
        <v>875</v>
      </c>
      <c r="L954" s="9">
        <v>46111</v>
      </c>
      <c r="M954" s="9">
        <v>46112</v>
      </c>
      <c r="N954" s="18">
        <f t="shared" ca="1" si="43"/>
        <v>1</v>
      </c>
      <c r="O954" s="9">
        <v>46122</v>
      </c>
      <c r="P954" s="9" t="str">
        <f t="shared" si="44"/>
        <v>✅ Ja</v>
      </c>
      <c r="Q954" t="s">
        <v>841</v>
      </c>
      <c r="S954" t="s">
        <v>841</v>
      </c>
      <c r="T954" t="s">
        <v>540</v>
      </c>
      <c r="U954" t="s">
        <v>695</v>
      </c>
    </row>
    <row r="955" spans="2:21" x14ac:dyDescent="0.25">
      <c r="B955" t="s">
        <v>128</v>
      </c>
      <c r="C955" t="s">
        <v>464</v>
      </c>
      <c r="D955" t="str">
        <f>IF(_xlfn.XLOOKUP(C955, ABZ!A:A, ABZ!B:B, "", 0) = 0, "", _xlfn.XLOOKUP(C955, ABZ!A:A, ABZ!B:B, "", 0))</f>
        <v>ENT-UIC-Android</v>
      </c>
      <c r="E955" t="s">
        <v>834</v>
      </c>
      <c r="F955" t="s">
        <v>529</v>
      </c>
      <c r="I955">
        <f t="shared" si="42"/>
        <v>0</v>
      </c>
      <c r="J955" t="s">
        <v>873</v>
      </c>
      <c r="K955">
        <v>155118</v>
      </c>
      <c r="L955" s="9">
        <v>46111</v>
      </c>
      <c r="M955" s="9"/>
      <c r="N955" s="18">
        <f t="shared" ca="1" si="43"/>
        <v>53</v>
      </c>
      <c r="O955" s="9">
        <v>46127</v>
      </c>
      <c r="P955" s="9" t="str">
        <f t="shared" si="44"/>
        <v>⏳ Offen</v>
      </c>
      <c r="Q955" t="s">
        <v>846</v>
      </c>
      <c r="S955" t="s">
        <v>838</v>
      </c>
      <c r="T955" t="s">
        <v>540</v>
      </c>
      <c r="U955" t="s">
        <v>606</v>
      </c>
    </row>
    <row r="956" spans="2:21" x14ac:dyDescent="0.25">
      <c r="B956" t="s">
        <v>128</v>
      </c>
      <c r="C956" t="s">
        <v>464</v>
      </c>
      <c r="D956" t="str">
        <f>IF(_xlfn.XLOOKUP(C956, ABZ!A:A, ABZ!B:B, "", 0) = 0, "", _xlfn.XLOOKUP(C956, ABZ!A:A, ABZ!B:B, "", 0))</f>
        <v>ENT-UIC-Android</v>
      </c>
      <c r="E956" t="s">
        <v>834</v>
      </c>
      <c r="F956" t="s">
        <v>530</v>
      </c>
      <c r="I956">
        <f t="shared" si="42"/>
        <v>0</v>
      </c>
      <c r="J956" t="s">
        <v>873</v>
      </c>
      <c r="K956">
        <v>155118</v>
      </c>
      <c r="L956" s="9">
        <v>46111</v>
      </c>
      <c r="M956" s="9"/>
      <c r="N956" s="18">
        <f t="shared" ca="1" si="43"/>
        <v>53</v>
      </c>
      <c r="O956" s="9">
        <v>46127</v>
      </c>
      <c r="P956" s="9" t="str">
        <f t="shared" si="44"/>
        <v>⏳ Offen</v>
      </c>
      <c r="Q956" t="s">
        <v>839</v>
      </c>
      <c r="S956" t="s">
        <v>838</v>
      </c>
      <c r="T956" t="s">
        <v>540</v>
      </c>
      <c r="U956" t="s">
        <v>606</v>
      </c>
    </row>
    <row r="957" spans="2:21" x14ac:dyDescent="0.25">
      <c r="B957" t="s">
        <v>128</v>
      </c>
      <c r="C957" t="s">
        <v>464</v>
      </c>
      <c r="D957" t="str">
        <f>IF(_xlfn.XLOOKUP(C957, ABZ!A:A, ABZ!B:B, "", 0) = 0, "", _xlfn.XLOOKUP(C957, ABZ!A:A, ABZ!B:B, "", 0))</f>
        <v>ENT-UIC-Android</v>
      </c>
      <c r="E957" t="s">
        <v>834</v>
      </c>
      <c r="F957" t="s">
        <v>531</v>
      </c>
      <c r="I957">
        <f t="shared" si="42"/>
        <v>0</v>
      </c>
      <c r="J957" t="s">
        <v>873</v>
      </c>
      <c r="K957">
        <v>155118</v>
      </c>
      <c r="L957" s="9">
        <v>46111</v>
      </c>
      <c r="M957" s="9"/>
      <c r="N957" s="18">
        <f t="shared" ca="1" si="43"/>
        <v>53</v>
      </c>
      <c r="O957" s="9">
        <v>46127</v>
      </c>
      <c r="P957" s="9" t="str">
        <f t="shared" si="44"/>
        <v>⏳ Offen</v>
      </c>
      <c r="Q957" t="s">
        <v>843</v>
      </c>
      <c r="S957" t="s">
        <v>838</v>
      </c>
      <c r="T957" t="s">
        <v>540</v>
      </c>
      <c r="U957" t="s">
        <v>606</v>
      </c>
    </row>
    <row r="958" spans="2:21" x14ac:dyDescent="0.25">
      <c r="B958" t="s">
        <v>128</v>
      </c>
      <c r="C958" t="s">
        <v>464</v>
      </c>
      <c r="D958" t="str">
        <f>IF(_xlfn.XLOOKUP(C958, ABZ!A:A, ABZ!B:B, "", 0) = 0, "", _xlfn.XLOOKUP(C958, ABZ!A:A, ABZ!B:B, "", 0))</f>
        <v>ENT-UIC-Android</v>
      </c>
      <c r="E958" t="s">
        <v>834</v>
      </c>
      <c r="F958" t="s">
        <v>528</v>
      </c>
      <c r="I958">
        <f t="shared" si="42"/>
        <v>0</v>
      </c>
      <c r="J958" t="s">
        <v>873</v>
      </c>
      <c r="K958">
        <v>155118</v>
      </c>
      <c r="L958" s="9">
        <v>46111</v>
      </c>
      <c r="M958" s="9"/>
      <c r="N958" s="18">
        <f t="shared" ca="1" si="43"/>
        <v>53</v>
      </c>
      <c r="O958" s="9">
        <v>46127</v>
      </c>
      <c r="P958" s="9" t="str">
        <f t="shared" si="44"/>
        <v>⏳ Offen</v>
      </c>
      <c r="Q958" t="s">
        <v>841</v>
      </c>
      <c r="S958" t="s">
        <v>838</v>
      </c>
      <c r="T958" t="s">
        <v>540</v>
      </c>
      <c r="U958" t="s">
        <v>606</v>
      </c>
    </row>
    <row r="959" spans="2:21" x14ac:dyDescent="0.25">
      <c r="B959" t="s">
        <v>128</v>
      </c>
      <c r="C959" t="s">
        <v>464</v>
      </c>
      <c r="D959" t="str">
        <f>IF(_xlfn.XLOOKUP(C959, ABZ!A:A, ABZ!B:B, "", 0) = 0, "", _xlfn.XLOOKUP(C959, ABZ!A:A, ABZ!B:B, "", 0))</f>
        <v>ENT-UIC-Android</v>
      </c>
      <c r="E959" t="s">
        <v>834</v>
      </c>
      <c r="F959" t="s">
        <v>527</v>
      </c>
      <c r="I959">
        <f t="shared" si="42"/>
        <v>0</v>
      </c>
      <c r="J959" t="s">
        <v>873</v>
      </c>
      <c r="K959">
        <v>155118</v>
      </c>
      <c r="L959" s="9">
        <v>46111</v>
      </c>
      <c r="M959" s="9"/>
      <c r="N959" s="18">
        <f t="shared" ca="1" si="43"/>
        <v>53</v>
      </c>
      <c r="O959" s="9">
        <v>46127</v>
      </c>
      <c r="P959" s="9" t="str">
        <f t="shared" si="44"/>
        <v>⏳ Offen</v>
      </c>
      <c r="Q959" t="s">
        <v>836</v>
      </c>
      <c r="S959" t="s">
        <v>838</v>
      </c>
      <c r="T959" t="s">
        <v>540</v>
      </c>
      <c r="U959" t="s">
        <v>606</v>
      </c>
    </row>
    <row r="960" spans="2:21" x14ac:dyDescent="0.25">
      <c r="B960" t="s">
        <v>128</v>
      </c>
      <c r="C960" t="s">
        <v>464</v>
      </c>
      <c r="D960" t="str">
        <f>IF(_xlfn.XLOOKUP(C960, ABZ!A:A, ABZ!B:B, "", 0) = 0, "", _xlfn.XLOOKUP(C960, ABZ!A:A, ABZ!B:B, "", 0))</f>
        <v>ENT-UIC-Android</v>
      </c>
      <c r="E960" t="s">
        <v>834</v>
      </c>
      <c r="F960" t="s">
        <v>535</v>
      </c>
      <c r="I960">
        <f t="shared" si="42"/>
        <v>0</v>
      </c>
      <c r="J960" t="s">
        <v>873</v>
      </c>
      <c r="K960">
        <v>155118</v>
      </c>
      <c r="L960" s="9">
        <v>46111</v>
      </c>
      <c r="M960" s="9"/>
      <c r="N960" s="18">
        <f t="shared" ca="1" si="43"/>
        <v>53</v>
      </c>
      <c r="O960" s="9">
        <v>46127</v>
      </c>
      <c r="P960" s="9" t="str">
        <f t="shared" si="44"/>
        <v>⏳ Offen</v>
      </c>
      <c r="Q960" t="s">
        <v>842</v>
      </c>
      <c r="S960" t="s">
        <v>838</v>
      </c>
      <c r="T960" t="s">
        <v>540</v>
      </c>
      <c r="U960" t="s">
        <v>606</v>
      </c>
    </row>
    <row r="961" spans="2:21" x14ac:dyDescent="0.25">
      <c r="B961" t="s">
        <v>128</v>
      </c>
      <c r="C961" t="s">
        <v>464</v>
      </c>
      <c r="D961" t="str">
        <f>IF(_xlfn.XLOOKUP(C961, ABZ!A:A, ABZ!B:B, "", 0) = 0, "", _xlfn.XLOOKUP(C961, ABZ!A:A, ABZ!B:B, "", 0))</f>
        <v>ENT-UIC-Android</v>
      </c>
      <c r="E961" t="s">
        <v>834</v>
      </c>
      <c r="F961" t="s">
        <v>538</v>
      </c>
      <c r="I961">
        <f t="shared" si="42"/>
        <v>0</v>
      </c>
      <c r="J961" t="s">
        <v>873</v>
      </c>
      <c r="K961">
        <v>155118</v>
      </c>
      <c r="L961" s="9">
        <v>46111</v>
      </c>
      <c r="M961" s="9"/>
      <c r="N961" s="18">
        <f t="shared" ca="1" si="43"/>
        <v>53</v>
      </c>
      <c r="O961" s="9">
        <v>46127</v>
      </c>
      <c r="P961" s="9" t="str">
        <f t="shared" si="44"/>
        <v>⏳ Offen</v>
      </c>
      <c r="Q961" t="s">
        <v>842</v>
      </c>
      <c r="S961" t="s">
        <v>838</v>
      </c>
      <c r="T961" t="s">
        <v>540</v>
      </c>
      <c r="U961" t="s">
        <v>606</v>
      </c>
    </row>
    <row r="962" spans="2:21" x14ac:dyDescent="0.25">
      <c r="B962" t="s">
        <v>129</v>
      </c>
      <c r="C962" t="s">
        <v>464</v>
      </c>
      <c r="D962" t="str">
        <f>IF(_xlfn.XLOOKUP(C962, ABZ!A:A, ABZ!B:B, "", 0) = 0, "", _xlfn.XLOOKUP(C962, ABZ!A:A, ABZ!B:B, "", 0))</f>
        <v>ENT-UIC-Android</v>
      </c>
      <c r="E962" t="s">
        <v>834</v>
      </c>
      <c r="F962" t="s">
        <v>529</v>
      </c>
      <c r="I962">
        <f t="shared" si="42"/>
        <v>0</v>
      </c>
      <c r="J962" t="s">
        <v>873</v>
      </c>
      <c r="K962">
        <v>155119</v>
      </c>
      <c r="L962" s="9">
        <v>46111</v>
      </c>
      <c r="M962" s="9"/>
      <c r="N962" s="18">
        <f t="shared" ca="1" si="43"/>
        <v>53</v>
      </c>
      <c r="O962" s="9">
        <v>46127</v>
      </c>
      <c r="P962" s="9" t="str">
        <f t="shared" si="44"/>
        <v>⏳ Offen</v>
      </c>
      <c r="Q962" t="s">
        <v>846</v>
      </c>
      <c r="S962" t="s">
        <v>838</v>
      </c>
      <c r="T962" t="s">
        <v>540</v>
      </c>
      <c r="U962" t="s">
        <v>607</v>
      </c>
    </row>
    <row r="963" spans="2:21" x14ac:dyDescent="0.25">
      <c r="B963" t="s">
        <v>129</v>
      </c>
      <c r="C963" t="s">
        <v>464</v>
      </c>
      <c r="D963" t="str">
        <f>IF(_xlfn.XLOOKUP(C963, ABZ!A:A, ABZ!B:B, "", 0) = 0, "", _xlfn.XLOOKUP(C963, ABZ!A:A, ABZ!B:B, "", 0))</f>
        <v>ENT-UIC-Android</v>
      </c>
      <c r="E963" t="s">
        <v>834</v>
      </c>
      <c r="F963" t="s">
        <v>530</v>
      </c>
      <c r="I963">
        <f t="shared" ref="I963:I1026" si="45">IF(AND(O963&lt;&gt;"",L963&lt;&gt;""),IF((O963-L963)&lt;=2,1,0),0)</f>
        <v>0</v>
      </c>
      <c r="J963" t="s">
        <v>873</v>
      </c>
      <c r="K963">
        <v>155119</v>
      </c>
      <c r="L963" s="9">
        <v>46111</v>
      </c>
      <c r="M963" s="9"/>
      <c r="N963" s="18">
        <f t="shared" ref="N963:N992" ca="1" si="46">IF(M963&lt;&gt;"",M963-L963,TODAY()-L963)</f>
        <v>53</v>
      </c>
      <c r="O963" s="9">
        <v>46127</v>
      </c>
      <c r="P963" s="9" t="str">
        <f t="shared" ref="P963:P992" si="47">IF(M963="","⏳ Offen",IF(M963&lt;=O963,"✅ Ja","❌ Nein"))</f>
        <v>⏳ Offen</v>
      </c>
      <c r="Q963" t="s">
        <v>839</v>
      </c>
      <c r="S963" t="s">
        <v>838</v>
      </c>
      <c r="T963" t="s">
        <v>540</v>
      </c>
      <c r="U963" t="s">
        <v>607</v>
      </c>
    </row>
    <row r="964" spans="2:21" x14ac:dyDescent="0.25">
      <c r="B964" t="s">
        <v>129</v>
      </c>
      <c r="C964" t="s">
        <v>464</v>
      </c>
      <c r="D964" t="str">
        <f>IF(_xlfn.XLOOKUP(C964, ABZ!A:A, ABZ!B:B, "", 0) = 0, "", _xlfn.XLOOKUP(C964, ABZ!A:A, ABZ!B:B, "", 0))</f>
        <v>ENT-UIC-Android</v>
      </c>
      <c r="E964" t="s">
        <v>834</v>
      </c>
      <c r="F964" t="s">
        <v>531</v>
      </c>
      <c r="I964">
        <f t="shared" si="45"/>
        <v>0</v>
      </c>
      <c r="J964" t="s">
        <v>873</v>
      </c>
      <c r="K964">
        <v>155119</v>
      </c>
      <c r="L964" s="9">
        <v>46111</v>
      </c>
      <c r="M964" s="9"/>
      <c r="N964" s="18">
        <f t="shared" ca="1" si="46"/>
        <v>53</v>
      </c>
      <c r="O964" s="9">
        <v>46127</v>
      </c>
      <c r="P964" s="9" t="str">
        <f t="shared" si="47"/>
        <v>⏳ Offen</v>
      </c>
      <c r="Q964" t="s">
        <v>843</v>
      </c>
      <c r="S964" t="s">
        <v>838</v>
      </c>
      <c r="T964" t="s">
        <v>540</v>
      </c>
      <c r="U964" t="s">
        <v>607</v>
      </c>
    </row>
    <row r="965" spans="2:21" x14ac:dyDescent="0.25">
      <c r="B965" t="s">
        <v>129</v>
      </c>
      <c r="C965" t="s">
        <v>464</v>
      </c>
      <c r="D965" t="str">
        <f>IF(_xlfn.XLOOKUP(C965, ABZ!A:A, ABZ!B:B, "", 0) = 0, "", _xlfn.XLOOKUP(C965, ABZ!A:A, ABZ!B:B, "", 0))</f>
        <v>ENT-UIC-Android</v>
      </c>
      <c r="E965" t="s">
        <v>834</v>
      </c>
      <c r="F965" t="s">
        <v>528</v>
      </c>
      <c r="I965">
        <f t="shared" si="45"/>
        <v>0</v>
      </c>
      <c r="J965" t="s">
        <v>873</v>
      </c>
      <c r="K965">
        <v>155119</v>
      </c>
      <c r="L965" s="9">
        <v>46111</v>
      </c>
      <c r="M965" s="9"/>
      <c r="N965" s="18">
        <f t="shared" ca="1" si="46"/>
        <v>53</v>
      </c>
      <c r="O965" s="9">
        <v>46127</v>
      </c>
      <c r="P965" s="9" t="str">
        <f t="shared" si="47"/>
        <v>⏳ Offen</v>
      </c>
      <c r="Q965" t="s">
        <v>841</v>
      </c>
      <c r="S965" t="s">
        <v>838</v>
      </c>
      <c r="T965" t="s">
        <v>540</v>
      </c>
      <c r="U965" t="s">
        <v>696</v>
      </c>
    </row>
    <row r="966" spans="2:21" x14ac:dyDescent="0.25">
      <c r="B966" t="s">
        <v>129</v>
      </c>
      <c r="C966" t="s">
        <v>464</v>
      </c>
      <c r="D966" t="str">
        <f>IF(_xlfn.XLOOKUP(C966, ABZ!A:A, ABZ!B:B, "", 0) = 0, "", _xlfn.XLOOKUP(C966, ABZ!A:A, ABZ!B:B, "", 0))</f>
        <v>ENT-UIC-Android</v>
      </c>
      <c r="E966" t="s">
        <v>834</v>
      </c>
      <c r="F966" t="s">
        <v>527</v>
      </c>
      <c r="I966">
        <f t="shared" si="45"/>
        <v>0</v>
      </c>
      <c r="J966" t="s">
        <v>873</v>
      </c>
      <c r="K966">
        <v>155119</v>
      </c>
      <c r="L966" s="9">
        <v>46111</v>
      </c>
      <c r="M966" s="9"/>
      <c r="N966" s="18">
        <f t="shared" ca="1" si="46"/>
        <v>53</v>
      </c>
      <c r="O966" s="9">
        <v>46127</v>
      </c>
      <c r="P966" s="9" t="str">
        <f t="shared" si="47"/>
        <v>⏳ Offen</v>
      </c>
      <c r="Q966" t="s">
        <v>836</v>
      </c>
      <c r="S966" t="s">
        <v>838</v>
      </c>
      <c r="T966" t="s">
        <v>540</v>
      </c>
      <c r="U966" t="s">
        <v>607</v>
      </c>
    </row>
    <row r="967" spans="2:21" x14ac:dyDescent="0.25">
      <c r="B967" t="s">
        <v>129</v>
      </c>
      <c r="C967" t="s">
        <v>464</v>
      </c>
      <c r="D967" t="str">
        <f>IF(_xlfn.XLOOKUP(C967, ABZ!A:A, ABZ!B:B, "", 0) = 0, "", _xlfn.XLOOKUP(C967, ABZ!A:A, ABZ!B:B, "", 0))</f>
        <v>ENT-UIC-Android</v>
      </c>
      <c r="E967" t="s">
        <v>834</v>
      </c>
      <c r="F967" t="s">
        <v>535</v>
      </c>
      <c r="I967">
        <f t="shared" si="45"/>
        <v>0</v>
      </c>
      <c r="J967" t="s">
        <v>873</v>
      </c>
      <c r="K967">
        <v>155119</v>
      </c>
      <c r="L967" s="9">
        <v>46111</v>
      </c>
      <c r="M967" s="9"/>
      <c r="N967" s="18">
        <f t="shared" ca="1" si="46"/>
        <v>53</v>
      </c>
      <c r="O967" s="9">
        <v>46127</v>
      </c>
      <c r="P967" s="9" t="str">
        <f t="shared" si="47"/>
        <v>⏳ Offen</v>
      </c>
      <c r="Q967" t="s">
        <v>842</v>
      </c>
      <c r="S967" t="s">
        <v>838</v>
      </c>
      <c r="T967" t="s">
        <v>540</v>
      </c>
      <c r="U967" t="s">
        <v>607</v>
      </c>
    </row>
    <row r="968" spans="2:21" x14ac:dyDescent="0.25">
      <c r="B968" t="s">
        <v>129</v>
      </c>
      <c r="C968" t="s">
        <v>464</v>
      </c>
      <c r="D968" t="str">
        <f>IF(_xlfn.XLOOKUP(C968, ABZ!A:A, ABZ!B:B, "", 0) = 0, "", _xlfn.XLOOKUP(C968, ABZ!A:A, ABZ!B:B, "", 0))</f>
        <v>ENT-UIC-Android</v>
      </c>
      <c r="E968" t="s">
        <v>834</v>
      </c>
      <c r="F968" t="s">
        <v>538</v>
      </c>
      <c r="I968">
        <f t="shared" si="45"/>
        <v>0</v>
      </c>
      <c r="J968" t="s">
        <v>873</v>
      </c>
      <c r="K968">
        <v>155119</v>
      </c>
      <c r="L968" s="9">
        <v>46111</v>
      </c>
      <c r="M968" s="9"/>
      <c r="N968" s="18">
        <f t="shared" ca="1" si="46"/>
        <v>53</v>
      </c>
      <c r="O968" s="9">
        <v>46127</v>
      </c>
      <c r="P968" s="9" t="str">
        <f t="shared" si="47"/>
        <v>⏳ Offen</v>
      </c>
      <c r="Q968" t="s">
        <v>842</v>
      </c>
      <c r="S968" t="s">
        <v>838</v>
      </c>
      <c r="T968" t="s">
        <v>540</v>
      </c>
      <c r="U968" t="s">
        <v>607</v>
      </c>
    </row>
    <row r="969" spans="2:21" x14ac:dyDescent="0.25">
      <c r="B969" s="3" t="s">
        <v>450</v>
      </c>
      <c r="C969" t="s">
        <v>480</v>
      </c>
      <c r="D969" t="str">
        <f>IF(_xlfn.XLOOKUP(C969, ABZ!A:A, ABZ!B:B, "", 0) = 0, "", _xlfn.XLOOKUP(C969, ABZ!A:A, ABZ!B:B, "", 0))</f>
        <v>D2C-MarketingContent</v>
      </c>
      <c r="E969" t="s">
        <v>834</v>
      </c>
      <c r="F969" t="s">
        <v>529</v>
      </c>
      <c r="I969">
        <f t="shared" si="45"/>
        <v>0</v>
      </c>
      <c r="J969" t="s">
        <v>875</v>
      </c>
      <c r="L969" s="9">
        <v>46059</v>
      </c>
      <c r="M969" s="9">
        <v>46114</v>
      </c>
      <c r="N969" s="18">
        <f t="shared" ca="1" si="46"/>
        <v>55</v>
      </c>
      <c r="O969" s="9">
        <v>46114</v>
      </c>
      <c r="P969" s="9" t="str">
        <f t="shared" si="47"/>
        <v>✅ Ja</v>
      </c>
      <c r="Q969" t="s">
        <v>846</v>
      </c>
      <c r="S969" t="s">
        <v>841</v>
      </c>
      <c r="T969" t="s">
        <v>540</v>
      </c>
      <c r="U969" t="s">
        <v>695</v>
      </c>
    </row>
    <row r="970" spans="2:21" x14ac:dyDescent="0.25">
      <c r="B970" s="3" t="s">
        <v>450</v>
      </c>
      <c r="C970" t="s">
        <v>480</v>
      </c>
      <c r="D970" t="str">
        <f>IF(_xlfn.XLOOKUP(C970, ABZ!A:A, ABZ!B:B, "", 0) = 0, "", _xlfn.XLOOKUP(C970, ABZ!A:A, ABZ!B:B, "", 0))</f>
        <v>D2C-MarketingContent</v>
      </c>
      <c r="E970" t="s">
        <v>834</v>
      </c>
      <c r="F970" t="s">
        <v>530</v>
      </c>
      <c r="I970">
        <f t="shared" si="45"/>
        <v>0</v>
      </c>
      <c r="J970" t="s">
        <v>875</v>
      </c>
      <c r="L970" s="9">
        <v>46059</v>
      </c>
      <c r="M970" s="9">
        <v>46114</v>
      </c>
      <c r="N970" s="18">
        <f t="shared" ca="1" si="46"/>
        <v>55</v>
      </c>
      <c r="O970" s="9">
        <v>46114</v>
      </c>
      <c r="P970" s="9" t="str">
        <f t="shared" si="47"/>
        <v>✅ Ja</v>
      </c>
      <c r="Q970" t="s">
        <v>839</v>
      </c>
      <c r="S970" t="s">
        <v>841</v>
      </c>
      <c r="T970" t="s">
        <v>540</v>
      </c>
      <c r="U970" t="s">
        <v>695</v>
      </c>
    </row>
    <row r="971" spans="2:21" x14ac:dyDescent="0.25">
      <c r="B971" s="3" t="s">
        <v>450</v>
      </c>
      <c r="C971" t="s">
        <v>480</v>
      </c>
      <c r="D971" t="str">
        <f>IF(_xlfn.XLOOKUP(C971, ABZ!A:A, ABZ!B:B, "", 0) = 0, "", _xlfn.XLOOKUP(C971, ABZ!A:A, ABZ!B:B, "", 0))</f>
        <v>D2C-MarketingContent</v>
      </c>
      <c r="E971" t="s">
        <v>834</v>
      </c>
      <c r="F971" t="s">
        <v>531</v>
      </c>
      <c r="I971">
        <f t="shared" si="45"/>
        <v>0</v>
      </c>
      <c r="J971" t="s">
        <v>875</v>
      </c>
      <c r="L971" s="9">
        <v>46059</v>
      </c>
      <c r="M971" s="9">
        <v>46114</v>
      </c>
      <c r="N971" s="18">
        <f t="shared" ca="1" si="46"/>
        <v>55</v>
      </c>
      <c r="O971" s="9">
        <v>46114</v>
      </c>
      <c r="P971" s="9" t="str">
        <f t="shared" si="47"/>
        <v>✅ Ja</v>
      </c>
      <c r="Q971" t="s">
        <v>843</v>
      </c>
      <c r="S971" t="s">
        <v>841</v>
      </c>
      <c r="T971" t="s">
        <v>540</v>
      </c>
      <c r="U971" t="s">
        <v>695</v>
      </c>
    </row>
    <row r="972" spans="2:21" x14ac:dyDescent="0.25">
      <c r="B972" s="3" t="s">
        <v>450</v>
      </c>
      <c r="C972" t="s">
        <v>480</v>
      </c>
      <c r="D972" t="str">
        <f>IF(_xlfn.XLOOKUP(C972, ABZ!A:A, ABZ!B:B, "", 0) = 0, "", _xlfn.XLOOKUP(C972, ABZ!A:A, ABZ!B:B, "", 0))</f>
        <v>D2C-MarketingContent</v>
      </c>
      <c r="E972" t="s">
        <v>834</v>
      </c>
      <c r="F972" t="s">
        <v>528</v>
      </c>
      <c r="I972">
        <f t="shared" si="45"/>
        <v>0</v>
      </c>
      <c r="J972" t="s">
        <v>875</v>
      </c>
      <c r="L972" s="9">
        <v>46059</v>
      </c>
      <c r="M972" s="9">
        <v>46114</v>
      </c>
      <c r="N972" s="18">
        <f t="shared" ca="1" si="46"/>
        <v>55</v>
      </c>
      <c r="O972" s="9">
        <v>46114</v>
      </c>
      <c r="P972" s="9" t="str">
        <f t="shared" si="47"/>
        <v>✅ Ja</v>
      </c>
      <c r="Q972" t="s">
        <v>841</v>
      </c>
      <c r="S972" t="s">
        <v>841</v>
      </c>
      <c r="T972" t="s">
        <v>540</v>
      </c>
      <c r="U972" t="s">
        <v>695</v>
      </c>
    </row>
    <row r="973" spans="2:21" x14ac:dyDescent="0.25">
      <c r="B973" s="3" t="s">
        <v>450</v>
      </c>
      <c r="C973" t="s">
        <v>480</v>
      </c>
      <c r="D973" t="str">
        <f>IF(_xlfn.XLOOKUP(C973, ABZ!A:A, ABZ!B:B, "", 0) = 0, "", _xlfn.XLOOKUP(C973, ABZ!A:A, ABZ!B:B, "", 0))</f>
        <v>D2C-MarketingContent</v>
      </c>
      <c r="E973" t="s">
        <v>834</v>
      </c>
      <c r="F973" t="s">
        <v>527</v>
      </c>
      <c r="I973">
        <f t="shared" si="45"/>
        <v>0</v>
      </c>
      <c r="J973" t="s">
        <v>875</v>
      </c>
      <c r="L973" s="9">
        <v>46059</v>
      </c>
      <c r="M973" s="9"/>
      <c r="N973" s="18">
        <f t="shared" ca="1" si="46"/>
        <v>105</v>
      </c>
      <c r="O973" s="9">
        <v>46125</v>
      </c>
      <c r="P973" s="9" t="str">
        <f t="shared" si="47"/>
        <v>⏳ Offen</v>
      </c>
      <c r="Q973" t="s">
        <v>836</v>
      </c>
      <c r="S973" t="s">
        <v>841</v>
      </c>
      <c r="T973" t="s">
        <v>540</v>
      </c>
      <c r="U973" t="s">
        <v>695</v>
      </c>
    </row>
    <row r="974" spans="2:21" x14ac:dyDescent="0.25">
      <c r="B974" s="3" t="s">
        <v>451</v>
      </c>
      <c r="C974" t="s">
        <v>457</v>
      </c>
      <c r="D974" t="str">
        <f>IF(_xlfn.XLOOKUP(C974, ABZ!A:A, ABZ!B:B, "", 0) = 0, "", _xlfn.XLOOKUP(C974, ABZ!A:A, ABZ!B:B, "", 0))</f>
        <v>VTR-CS-SER-PartnerCommunication</v>
      </c>
      <c r="E974" t="s">
        <v>834</v>
      </c>
      <c r="F974" t="s">
        <v>530</v>
      </c>
      <c r="I974">
        <f t="shared" si="45"/>
        <v>0</v>
      </c>
      <c r="J974" t="s">
        <v>875</v>
      </c>
      <c r="L974" s="9">
        <v>46111</v>
      </c>
      <c r="M974" s="9"/>
      <c r="N974" s="18">
        <f t="shared" ca="1" si="46"/>
        <v>53</v>
      </c>
      <c r="O974" s="9">
        <v>46129</v>
      </c>
      <c r="P974" s="9" t="str">
        <f t="shared" si="47"/>
        <v>⏳ Offen</v>
      </c>
      <c r="Q974" t="s">
        <v>839</v>
      </c>
      <c r="S974" t="s">
        <v>839</v>
      </c>
      <c r="T974" t="s">
        <v>540</v>
      </c>
      <c r="U974" t="s">
        <v>641</v>
      </c>
    </row>
    <row r="975" spans="2:21" x14ac:dyDescent="0.25">
      <c r="B975" s="3" t="s">
        <v>451</v>
      </c>
      <c r="C975" t="s">
        <v>457</v>
      </c>
      <c r="D975" t="str">
        <f>IF(_xlfn.XLOOKUP(C975, ABZ!A:A, ABZ!B:B, "", 0) = 0, "", _xlfn.XLOOKUP(C975, ABZ!A:A, ABZ!B:B, "", 0))</f>
        <v>VTR-CS-SER-PartnerCommunication</v>
      </c>
      <c r="E975" t="s">
        <v>834</v>
      </c>
      <c r="F975" t="s">
        <v>528</v>
      </c>
      <c r="I975">
        <f t="shared" si="45"/>
        <v>0</v>
      </c>
      <c r="J975" t="s">
        <v>875</v>
      </c>
      <c r="L975" s="9">
        <v>46111</v>
      </c>
      <c r="M975" s="9"/>
      <c r="N975" s="18">
        <f t="shared" ca="1" si="46"/>
        <v>53</v>
      </c>
      <c r="O975" s="9">
        <v>46129</v>
      </c>
      <c r="P975" s="9" t="str">
        <f t="shared" si="47"/>
        <v>⏳ Offen</v>
      </c>
      <c r="Q975" t="s">
        <v>847</v>
      </c>
      <c r="R975" t="s">
        <v>841</v>
      </c>
      <c r="S975" t="s">
        <v>839</v>
      </c>
      <c r="T975" t="s">
        <v>540</v>
      </c>
      <c r="U975" t="s">
        <v>641</v>
      </c>
    </row>
    <row r="976" spans="2:21" x14ac:dyDescent="0.25">
      <c r="B976" s="7" t="s">
        <v>452</v>
      </c>
      <c r="C976" t="s">
        <v>479</v>
      </c>
      <c r="D976" t="str">
        <f>IF(_xlfn.XLOOKUP(C976, ABZ!A:A, ABZ!B:B, "", 0) = 0, "", _xlfn.XLOOKUP(C976, ABZ!A:A, ABZ!B:B, "", 0))</f>
        <v>D2C-MarketingContent</v>
      </c>
      <c r="E976" t="s">
        <v>834</v>
      </c>
      <c r="F976" t="s">
        <v>529</v>
      </c>
      <c r="I976">
        <f t="shared" si="45"/>
        <v>1</v>
      </c>
      <c r="J976" t="s">
        <v>875</v>
      </c>
      <c r="L976" s="9">
        <v>46113</v>
      </c>
      <c r="M976" s="9">
        <v>46114</v>
      </c>
      <c r="N976" s="18">
        <f t="shared" ca="1" si="46"/>
        <v>1</v>
      </c>
      <c r="O976" s="9">
        <v>46114</v>
      </c>
      <c r="P976" s="9" t="str">
        <f t="shared" si="47"/>
        <v>✅ Ja</v>
      </c>
      <c r="Q976" t="s">
        <v>846</v>
      </c>
      <c r="S976" t="s">
        <v>841</v>
      </c>
      <c r="T976" t="s">
        <v>540</v>
      </c>
      <c r="U976" t="s">
        <v>697</v>
      </c>
    </row>
    <row r="977" spans="2:21" x14ac:dyDescent="0.25">
      <c r="B977" s="7" t="s">
        <v>452</v>
      </c>
      <c r="C977" t="s">
        <v>479</v>
      </c>
      <c r="D977" t="str">
        <f>IF(_xlfn.XLOOKUP(C977, ABZ!A:A, ABZ!B:B, "", 0) = 0, "", _xlfn.XLOOKUP(C977, ABZ!A:A, ABZ!B:B, "", 0))</f>
        <v>D2C-MarketingContent</v>
      </c>
      <c r="E977" t="s">
        <v>834</v>
      </c>
      <c r="F977" t="s">
        <v>530</v>
      </c>
      <c r="I977">
        <f t="shared" si="45"/>
        <v>1</v>
      </c>
      <c r="J977" t="s">
        <v>875</v>
      </c>
      <c r="L977" s="9">
        <v>46113</v>
      </c>
      <c r="M977" s="9">
        <v>46114</v>
      </c>
      <c r="N977" s="18">
        <f t="shared" ca="1" si="46"/>
        <v>1</v>
      </c>
      <c r="O977" s="9">
        <v>46114</v>
      </c>
      <c r="P977" s="9" t="str">
        <f t="shared" si="47"/>
        <v>✅ Ja</v>
      </c>
      <c r="Q977" t="s">
        <v>839</v>
      </c>
      <c r="S977" t="s">
        <v>841</v>
      </c>
      <c r="T977" t="s">
        <v>540</v>
      </c>
      <c r="U977" t="s">
        <v>697</v>
      </c>
    </row>
    <row r="978" spans="2:21" x14ac:dyDescent="0.25">
      <c r="B978" s="7" t="s">
        <v>452</v>
      </c>
      <c r="C978" t="s">
        <v>479</v>
      </c>
      <c r="D978" t="str">
        <f>IF(_xlfn.XLOOKUP(C978, ABZ!A:A, ABZ!B:B, "", 0) = 0, "", _xlfn.XLOOKUP(C978, ABZ!A:A, ABZ!B:B, "", 0))</f>
        <v>D2C-MarketingContent</v>
      </c>
      <c r="E978" t="s">
        <v>834</v>
      </c>
      <c r="F978" t="s">
        <v>531</v>
      </c>
      <c r="I978">
        <f t="shared" si="45"/>
        <v>1</v>
      </c>
      <c r="J978" t="s">
        <v>875</v>
      </c>
      <c r="L978" s="9">
        <v>46113</v>
      </c>
      <c r="M978" s="9">
        <v>46114</v>
      </c>
      <c r="N978" s="18">
        <f t="shared" ca="1" si="46"/>
        <v>1</v>
      </c>
      <c r="O978" s="9">
        <v>46114</v>
      </c>
      <c r="P978" s="9" t="str">
        <f t="shared" si="47"/>
        <v>✅ Ja</v>
      </c>
      <c r="Q978" t="s">
        <v>843</v>
      </c>
      <c r="S978" t="s">
        <v>841</v>
      </c>
      <c r="T978" t="s">
        <v>540</v>
      </c>
      <c r="U978" t="s">
        <v>697</v>
      </c>
    </row>
    <row r="979" spans="2:21" x14ac:dyDescent="0.25">
      <c r="B979" s="7" t="s">
        <v>452</v>
      </c>
      <c r="C979" t="s">
        <v>479</v>
      </c>
      <c r="D979" t="str">
        <f>IF(_xlfn.XLOOKUP(C979, ABZ!A:A, ABZ!B:B, "", 0) = 0, "", _xlfn.XLOOKUP(C979, ABZ!A:A, ABZ!B:B, "", 0))</f>
        <v>D2C-MarketingContent</v>
      </c>
      <c r="E979" t="s">
        <v>834</v>
      </c>
      <c r="F979" t="s">
        <v>528</v>
      </c>
      <c r="I979">
        <f t="shared" si="45"/>
        <v>1</v>
      </c>
      <c r="J979" t="s">
        <v>875</v>
      </c>
      <c r="L979" s="9">
        <v>46113</v>
      </c>
      <c r="M979" s="9">
        <v>46114</v>
      </c>
      <c r="N979" s="18">
        <f t="shared" ca="1" si="46"/>
        <v>1</v>
      </c>
      <c r="O979" s="9">
        <v>46114</v>
      </c>
      <c r="P979" s="9" t="str">
        <f t="shared" si="47"/>
        <v>✅ Ja</v>
      </c>
      <c r="Q979" t="s">
        <v>841</v>
      </c>
      <c r="S979" t="s">
        <v>841</v>
      </c>
      <c r="T979" t="s">
        <v>540</v>
      </c>
      <c r="U979" t="s">
        <v>697</v>
      </c>
    </row>
    <row r="980" spans="2:21" x14ac:dyDescent="0.25">
      <c r="B980" s="7" t="s">
        <v>452</v>
      </c>
      <c r="C980" t="s">
        <v>479</v>
      </c>
      <c r="D980" t="str">
        <f>IF(_xlfn.XLOOKUP(C980, ABZ!A:A, ABZ!B:B, "", 0) = 0, "", _xlfn.XLOOKUP(C980, ABZ!A:A, ABZ!B:B, "", 0))</f>
        <v>D2C-MarketingContent</v>
      </c>
      <c r="E980" t="s">
        <v>834</v>
      </c>
      <c r="F980" t="s">
        <v>527</v>
      </c>
      <c r="I980">
        <f t="shared" si="45"/>
        <v>1</v>
      </c>
      <c r="J980" t="s">
        <v>875</v>
      </c>
      <c r="L980" s="9">
        <v>46113</v>
      </c>
      <c r="M980" s="9">
        <v>46114</v>
      </c>
      <c r="N980" s="18">
        <f t="shared" ca="1" si="46"/>
        <v>1</v>
      </c>
      <c r="O980" s="9">
        <v>46114</v>
      </c>
      <c r="P980" s="9" t="str">
        <f t="shared" si="47"/>
        <v>✅ Ja</v>
      </c>
      <c r="Q980" t="s">
        <v>842</v>
      </c>
      <c r="S980" t="s">
        <v>841</v>
      </c>
      <c r="T980" t="s">
        <v>540</v>
      </c>
      <c r="U980" t="s">
        <v>697</v>
      </c>
    </row>
    <row r="981" spans="2:21" x14ac:dyDescent="0.25">
      <c r="B981" s="7" t="s">
        <v>453</v>
      </c>
      <c r="C981" t="s">
        <v>482</v>
      </c>
      <c r="D981" t="str">
        <f>IF(_xlfn.XLOOKUP(C981, ABZ!A:A, ABZ!B:B, "", 0) = 0, "", _xlfn.XLOOKUP(C981, ABZ!A:A, ABZ!B:B, "", 0))</f>
        <v>KOM-Marketing</v>
      </c>
      <c r="E981" t="s">
        <v>834</v>
      </c>
      <c r="F981" t="s">
        <v>529</v>
      </c>
      <c r="I981">
        <f t="shared" si="45"/>
        <v>1</v>
      </c>
      <c r="J981" t="s">
        <v>875</v>
      </c>
      <c r="L981" s="9">
        <v>46113</v>
      </c>
      <c r="M981" s="9">
        <v>45754</v>
      </c>
      <c r="N981" s="18">
        <f t="shared" ca="1" si="46"/>
        <v>-359</v>
      </c>
      <c r="O981" s="9">
        <v>46114</v>
      </c>
      <c r="P981" s="9" t="str">
        <f t="shared" si="47"/>
        <v>✅ Ja</v>
      </c>
      <c r="Q981" t="s">
        <v>846</v>
      </c>
      <c r="S981" t="s">
        <v>839</v>
      </c>
      <c r="T981" t="s">
        <v>540</v>
      </c>
      <c r="U981" t="s">
        <v>698</v>
      </c>
    </row>
    <row r="982" spans="2:21" x14ac:dyDescent="0.25">
      <c r="B982" s="7" t="s">
        <v>454</v>
      </c>
      <c r="C982" t="s">
        <v>506</v>
      </c>
      <c r="D982" t="str">
        <f>IF(_xlfn.XLOOKUP(C982, ABZ!A:A, ABZ!B:B, "", 0) = 0, "", _xlfn.XLOOKUP(C982, ABZ!A:A, ABZ!B:B, "", 0))</f>
        <v>KOM-Online</v>
      </c>
      <c r="E982" t="s">
        <v>834</v>
      </c>
      <c r="F982" t="s">
        <v>529</v>
      </c>
      <c r="I982">
        <f t="shared" si="45"/>
        <v>0</v>
      </c>
      <c r="J982" t="s">
        <v>875</v>
      </c>
      <c r="L982" s="9">
        <v>46113</v>
      </c>
      <c r="M982" s="9"/>
      <c r="N982" s="18">
        <f t="shared" ca="1" si="46"/>
        <v>51</v>
      </c>
      <c r="O982" s="9">
        <v>46125</v>
      </c>
      <c r="P982" s="9" t="str">
        <f t="shared" si="47"/>
        <v>⏳ Offen</v>
      </c>
      <c r="Q982" t="s">
        <v>837</v>
      </c>
      <c r="S982" t="s">
        <v>840</v>
      </c>
      <c r="T982" t="s">
        <v>540</v>
      </c>
      <c r="U982" t="s">
        <v>697</v>
      </c>
    </row>
    <row r="983" spans="2:21" x14ac:dyDescent="0.25">
      <c r="B983" s="7" t="s">
        <v>454</v>
      </c>
      <c r="C983" t="s">
        <v>506</v>
      </c>
      <c r="D983" t="str">
        <f>IF(_xlfn.XLOOKUP(C983, ABZ!A:A, ABZ!B:B, "", 0) = 0, "", _xlfn.XLOOKUP(C983, ABZ!A:A, ABZ!B:B, "", 0))</f>
        <v>KOM-Online</v>
      </c>
      <c r="E983" t="s">
        <v>834</v>
      </c>
      <c r="F983" t="s">
        <v>530</v>
      </c>
      <c r="I983">
        <f t="shared" si="45"/>
        <v>0</v>
      </c>
      <c r="J983" t="s">
        <v>875</v>
      </c>
      <c r="L983" s="9">
        <v>46113</v>
      </c>
      <c r="M983" s="9"/>
      <c r="N983" s="18">
        <f t="shared" ca="1" si="46"/>
        <v>51</v>
      </c>
      <c r="O983" s="9">
        <v>46125</v>
      </c>
      <c r="P983" s="9" t="str">
        <f t="shared" si="47"/>
        <v>⏳ Offen</v>
      </c>
      <c r="Q983" t="s">
        <v>839</v>
      </c>
      <c r="S983" t="s">
        <v>840</v>
      </c>
      <c r="T983" t="s">
        <v>540</v>
      </c>
      <c r="U983" t="s">
        <v>697</v>
      </c>
    </row>
    <row r="984" spans="2:21" x14ac:dyDescent="0.25">
      <c r="B984" s="7" t="s">
        <v>454</v>
      </c>
      <c r="C984" t="s">
        <v>506</v>
      </c>
      <c r="D984" t="str">
        <f>IF(_xlfn.XLOOKUP(C984, ABZ!A:A, ABZ!B:B, "", 0) = 0, "", _xlfn.XLOOKUP(C984, ABZ!A:A, ABZ!B:B, "", 0))</f>
        <v>KOM-Online</v>
      </c>
      <c r="E984" t="s">
        <v>834</v>
      </c>
      <c r="F984" t="s">
        <v>531</v>
      </c>
      <c r="I984">
        <f t="shared" si="45"/>
        <v>0</v>
      </c>
      <c r="J984" t="s">
        <v>875</v>
      </c>
      <c r="L984" s="9">
        <v>46113</v>
      </c>
      <c r="M984" s="9"/>
      <c r="N984" s="18">
        <f t="shared" ca="1" si="46"/>
        <v>51</v>
      </c>
      <c r="O984" s="9">
        <v>46125</v>
      </c>
      <c r="P984" s="9" t="str">
        <f t="shared" si="47"/>
        <v>⏳ Offen</v>
      </c>
      <c r="Q984" t="s">
        <v>843</v>
      </c>
      <c r="R984" t="s">
        <v>840</v>
      </c>
      <c r="S984" t="s">
        <v>840</v>
      </c>
      <c r="T984" t="s">
        <v>540</v>
      </c>
      <c r="U984" t="s">
        <v>697</v>
      </c>
    </row>
    <row r="985" spans="2:21" x14ac:dyDescent="0.25">
      <c r="B985" s="7" t="s">
        <v>454</v>
      </c>
      <c r="C985" t="s">
        <v>506</v>
      </c>
      <c r="D985" t="str">
        <f>IF(_xlfn.XLOOKUP(C985, ABZ!A:A, ABZ!B:B, "", 0) = 0, "", _xlfn.XLOOKUP(C985, ABZ!A:A, ABZ!B:B, "", 0))</f>
        <v>KOM-Online</v>
      </c>
      <c r="E985" t="s">
        <v>834</v>
      </c>
      <c r="F985" t="s">
        <v>528</v>
      </c>
      <c r="I985">
        <f t="shared" si="45"/>
        <v>0</v>
      </c>
      <c r="J985" t="s">
        <v>875</v>
      </c>
      <c r="L985" s="9">
        <v>46113</v>
      </c>
      <c r="M985" s="9"/>
      <c r="N985" s="18">
        <f t="shared" ca="1" si="46"/>
        <v>51</v>
      </c>
      <c r="O985" s="9">
        <v>46125</v>
      </c>
      <c r="P985" s="9" t="str">
        <f t="shared" si="47"/>
        <v>⏳ Offen</v>
      </c>
      <c r="Q985" t="s">
        <v>847</v>
      </c>
      <c r="R985" t="s">
        <v>841</v>
      </c>
      <c r="S985" t="s">
        <v>840</v>
      </c>
      <c r="T985" t="s">
        <v>540</v>
      </c>
      <c r="U985" t="s">
        <v>697</v>
      </c>
    </row>
    <row r="986" spans="2:21" x14ac:dyDescent="0.25">
      <c r="B986" s="7" t="s">
        <v>454</v>
      </c>
      <c r="C986" t="s">
        <v>506</v>
      </c>
      <c r="D986" t="str">
        <f>IF(_xlfn.XLOOKUP(C986, ABZ!A:A, ABZ!B:B, "", 0) = 0, "", _xlfn.XLOOKUP(C986, ABZ!A:A, ABZ!B:B, "", 0))</f>
        <v>KOM-Online</v>
      </c>
      <c r="E986" t="s">
        <v>834</v>
      </c>
      <c r="F986" t="s">
        <v>527</v>
      </c>
      <c r="I986">
        <f t="shared" si="45"/>
        <v>0</v>
      </c>
      <c r="J986" t="s">
        <v>875</v>
      </c>
      <c r="L986" s="9">
        <v>46113</v>
      </c>
      <c r="M986" s="9"/>
      <c r="N986" s="18">
        <f t="shared" ca="1" si="46"/>
        <v>51</v>
      </c>
      <c r="O986" s="9">
        <v>46125</v>
      </c>
      <c r="P986" s="9" t="str">
        <f t="shared" si="47"/>
        <v>⏳ Offen</v>
      </c>
      <c r="S986" t="s">
        <v>840</v>
      </c>
      <c r="T986" t="s">
        <v>540</v>
      </c>
      <c r="U986" t="s">
        <v>697</v>
      </c>
    </row>
    <row r="987" spans="2:21" x14ac:dyDescent="0.25">
      <c r="B987" s="7" t="s">
        <v>455</v>
      </c>
      <c r="C987" t="s">
        <v>506</v>
      </c>
      <c r="D987" t="str">
        <f>IF(_xlfn.XLOOKUP(C987, ABZ!A:A, ABZ!B:B, "", 0) = 0, "", _xlfn.XLOOKUP(C987, ABZ!A:A, ABZ!B:B, "", 0))</f>
        <v>KOM-Online</v>
      </c>
      <c r="E987" t="s">
        <v>834</v>
      </c>
      <c r="F987" t="s">
        <v>529</v>
      </c>
      <c r="I987">
        <f t="shared" si="45"/>
        <v>0</v>
      </c>
      <c r="J987" t="s">
        <v>875</v>
      </c>
      <c r="L987" s="9">
        <v>46113</v>
      </c>
      <c r="M987" s="9"/>
      <c r="N987" s="18">
        <f t="shared" ca="1" si="46"/>
        <v>51</v>
      </c>
      <c r="O987" s="9">
        <v>46125</v>
      </c>
      <c r="P987" s="9" t="str">
        <f t="shared" si="47"/>
        <v>⏳ Offen</v>
      </c>
      <c r="Q987" t="s">
        <v>837</v>
      </c>
      <c r="S987" t="s">
        <v>840</v>
      </c>
      <c r="T987" t="s">
        <v>540</v>
      </c>
      <c r="U987" t="s">
        <v>697</v>
      </c>
    </row>
    <row r="988" spans="2:21" x14ac:dyDescent="0.25">
      <c r="B988" s="7" t="s">
        <v>455</v>
      </c>
      <c r="C988" t="s">
        <v>506</v>
      </c>
      <c r="D988" t="str">
        <f>IF(_xlfn.XLOOKUP(C988, ABZ!A:A, ABZ!B:B, "", 0) = 0, "", _xlfn.XLOOKUP(C988, ABZ!A:A, ABZ!B:B, "", 0))</f>
        <v>KOM-Online</v>
      </c>
      <c r="E988" t="s">
        <v>834</v>
      </c>
      <c r="F988" t="s">
        <v>530</v>
      </c>
      <c r="I988">
        <f t="shared" si="45"/>
        <v>0</v>
      </c>
      <c r="J988" t="s">
        <v>875</v>
      </c>
      <c r="L988" s="9">
        <v>46113</v>
      </c>
      <c r="M988" s="9"/>
      <c r="N988" s="18">
        <f t="shared" ca="1" si="46"/>
        <v>51</v>
      </c>
      <c r="O988" s="9">
        <v>46125</v>
      </c>
      <c r="P988" s="9" t="str">
        <f t="shared" si="47"/>
        <v>⏳ Offen</v>
      </c>
      <c r="Q988" t="s">
        <v>839</v>
      </c>
      <c r="S988" t="s">
        <v>840</v>
      </c>
      <c r="T988" t="s">
        <v>540</v>
      </c>
      <c r="U988" t="s">
        <v>697</v>
      </c>
    </row>
    <row r="989" spans="2:21" x14ac:dyDescent="0.25">
      <c r="B989" s="7" t="s">
        <v>455</v>
      </c>
      <c r="C989" t="s">
        <v>506</v>
      </c>
      <c r="D989" t="str">
        <f>IF(_xlfn.XLOOKUP(C989, ABZ!A:A, ABZ!B:B, "", 0) = 0, "", _xlfn.XLOOKUP(C989, ABZ!A:A, ABZ!B:B, "", 0))</f>
        <v>KOM-Online</v>
      </c>
      <c r="E989" t="s">
        <v>834</v>
      </c>
      <c r="F989" t="s">
        <v>531</v>
      </c>
      <c r="I989">
        <f t="shared" si="45"/>
        <v>0</v>
      </c>
      <c r="J989" t="s">
        <v>875</v>
      </c>
      <c r="L989" s="9">
        <v>46113</v>
      </c>
      <c r="M989" s="9"/>
      <c r="N989" s="18">
        <f t="shared" ca="1" si="46"/>
        <v>51</v>
      </c>
      <c r="O989" s="9">
        <v>46125</v>
      </c>
      <c r="P989" s="9" t="str">
        <f t="shared" si="47"/>
        <v>⏳ Offen</v>
      </c>
      <c r="Q989" t="s">
        <v>843</v>
      </c>
      <c r="R989" t="s">
        <v>840</v>
      </c>
      <c r="S989" t="s">
        <v>840</v>
      </c>
      <c r="T989" t="s">
        <v>540</v>
      </c>
      <c r="U989" t="s">
        <v>697</v>
      </c>
    </row>
    <row r="990" spans="2:21" x14ac:dyDescent="0.25">
      <c r="B990" s="7" t="s">
        <v>455</v>
      </c>
      <c r="C990" t="s">
        <v>506</v>
      </c>
      <c r="D990" t="str">
        <f>IF(_xlfn.XLOOKUP(C990, ABZ!A:A, ABZ!B:B, "", 0) = 0, "", _xlfn.XLOOKUP(C990, ABZ!A:A, ABZ!B:B, "", 0))</f>
        <v>KOM-Online</v>
      </c>
      <c r="E990" t="s">
        <v>834</v>
      </c>
      <c r="F990" t="s">
        <v>528</v>
      </c>
      <c r="I990">
        <f t="shared" si="45"/>
        <v>0</v>
      </c>
      <c r="J990" t="s">
        <v>875</v>
      </c>
      <c r="L990" s="9">
        <v>46113</v>
      </c>
      <c r="M990" s="9"/>
      <c r="N990" s="18">
        <f t="shared" ca="1" si="46"/>
        <v>51</v>
      </c>
      <c r="O990" s="9">
        <v>46125</v>
      </c>
      <c r="P990" s="9" t="str">
        <f t="shared" si="47"/>
        <v>⏳ Offen</v>
      </c>
      <c r="Q990" t="s">
        <v>847</v>
      </c>
      <c r="R990" t="s">
        <v>841</v>
      </c>
      <c r="S990" t="s">
        <v>840</v>
      </c>
      <c r="T990" t="s">
        <v>540</v>
      </c>
      <c r="U990" t="s">
        <v>697</v>
      </c>
    </row>
    <row r="991" spans="2:21" x14ac:dyDescent="0.25">
      <c r="B991" s="7" t="s">
        <v>455</v>
      </c>
      <c r="C991" t="s">
        <v>506</v>
      </c>
      <c r="D991" t="str">
        <f>IF(_xlfn.XLOOKUP(C991, ABZ!A:A, ABZ!B:B, "", 0) = 0, "", _xlfn.XLOOKUP(C991, ABZ!A:A, ABZ!B:B, "", 0))</f>
        <v>KOM-Online</v>
      </c>
      <c r="E991" t="s">
        <v>834</v>
      </c>
      <c r="F991" t="s">
        <v>527</v>
      </c>
      <c r="I991">
        <f t="shared" si="45"/>
        <v>0</v>
      </c>
      <c r="J991" t="s">
        <v>875</v>
      </c>
      <c r="L991" s="9">
        <v>46113</v>
      </c>
      <c r="M991" s="9"/>
      <c r="N991" s="18">
        <f t="shared" ca="1" si="46"/>
        <v>51</v>
      </c>
      <c r="O991" s="9">
        <v>46125</v>
      </c>
      <c r="P991" s="9" t="str">
        <f t="shared" si="47"/>
        <v>⏳ Offen</v>
      </c>
      <c r="S991" t="s">
        <v>840</v>
      </c>
      <c r="T991" t="s">
        <v>540</v>
      </c>
      <c r="U991" t="s">
        <v>697</v>
      </c>
    </row>
    <row r="992" spans="2:21" x14ac:dyDescent="0.25">
      <c r="B992" t="s">
        <v>456</v>
      </c>
      <c r="C992" t="s">
        <v>526</v>
      </c>
      <c r="D992" t="str">
        <f>IF(_xlfn.XLOOKUP(C992, ABZ!A:A, ABZ!B:B, "", 0) = 0, "", _xlfn.XLOOKUP(C992, ABZ!A:A, ABZ!B:B, "", 0))</f>
        <v>GroupAccountingESG</v>
      </c>
      <c r="E992" t="s">
        <v>834</v>
      </c>
      <c r="F992" t="s">
        <v>530</v>
      </c>
      <c r="I992">
        <f t="shared" si="45"/>
        <v>0</v>
      </c>
      <c r="J992" t="s">
        <v>874</v>
      </c>
      <c r="L992" s="9">
        <v>46113</v>
      </c>
      <c r="M992" s="9"/>
      <c r="N992" s="18">
        <f t="shared" ca="1" si="46"/>
        <v>51</v>
      </c>
      <c r="O992" s="9"/>
      <c r="P992" s="9" t="str">
        <f t="shared" si="47"/>
        <v>⏳ Offen</v>
      </c>
      <c r="Q992" t="s">
        <v>842</v>
      </c>
      <c r="S992" t="s">
        <v>839</v>
      </c>
      <c r="T992" t="s">
        <v>540</v>
      </c>
      <c r="U992" t="s">
        <v>666</v>
      </c>
    </row>
    <row r="993" spans="4:20" x14ac:dyDescent="0.25">
      <c r="D993" t="str">
        <f>IF(_xlfn.XLOOKUP(C993, ABZ!A:A, ABZ!B:B, "", 0) = 0, "", _xlfn.XLOOKUP(C993, ABZ!A:A, ABZ!B:B, "", 0))</f>
        <v/>
      </c>
      <c r="I993">
        <f t="shared" si="45"/>
        <v>0</v>
      </c>
      <c r="L993" s="9"/>
      <c r="M993" s="9"/>
      <c r="N993" s="18"/>
      <c r="O993" s="9"/>
      <c r="P993" s="9"/>
      <c r="T993" t="s">
        <v>540</v>
      </c>
    </row>
    <row r="994" spans="4:20" x14ac:dyDescent="0.25">
      <c r="D994" t="str">
        <f>IF(_xlfn.XLOOKUP(C994, ABZ!A:A, ABZ!B:B, "", 0) = 0, "", _xlfn.XLOOKUP(C994, ABZ!A:A, ABZ!B:B, "", 0))</f>
        <v/>
      </c>
      <c r="I994">
        <f t="shared" si="45"/>
        <v>0</v>
      </c>
      <c r="L994" s="9"/>
      <c r="M994" s="9"/>
      <c r="N994" s="18"/>
      <c r="O994" s="9"/>
      <c r="P994" s="9"/>
    </row>
    <row r="995" spans="4:20" x14ac:dyDescent="0.25">
      <c r="D995" t="str">
        <f>IF(_xlfn.XLOOKUP(C995, ABZ!A:A, ABZ!B:B, "", 0) = 0, "", _xlfn.XLOOKUP(C995, ABZ!A:A, ABZ!B:B, "", 0))</f>
        <v/>
      </c>
      <c r="I995">
        <f t="shared" si="45"/>
        <v>0</v>
      </c>
      <c r="L995" s="9"/>
      <c r="M995" s="9"/>
      <c r="N995" s="18"/>
      <c r="O995" s="9"/>
      <c r="P995" s="9"/>
    </row>
    <row r="996" spans="4:20" x14ac:dyDescent="0.25">
      <c r="D996" t="str">
        <f>IF(_xlfn.XLOOKUP(C996, ABZ!A:A, ABZ!B:B, "", 0) = 0, "", _xlfn.XLOOKUP(C996, ABZ!A:A, ABZ!B:B, "", 0))</f>
        <v/>
      </c>
      <c r="I996">
        <f t="shared" si="45"/>
        <v>0</v>
      </c>
      <c r="L996" s="9"/>
      <c r="M996" s="9"/>
      <c r="N996" s="18"/>
      <c r="O996" s="9"/>
      <c r="P996" s="9"/>
    </row>
    <row r="997" spans="4:20" x14ac:dyDescent="0.25">
      <c r="D997" t="str">
        <f>IF(_xlfn.XLOOKUP(C997, ABZ!A:A, ABZ!B:B, "", 0) = 0, "", _xlfn.XLOOKUP(C997, ABZ!A:A, ABZ!B:B, "", 0))</f>
        <v/>
      </c>
      <c r="I997">
        <f t="shared" si="45"/>
        <v>0</v>
      </c>
      <c r="L997" s="9"/>
      <c r="M997" s="9"/>
      <c r="N997" s="18"/>
      <c r="O997" s="9"/>
      <c r="P997" s="9"/>
    </row>
    <row r="998" spans="4:20" x14ac:dyDescent="0.25">
      <c r="D998" t="str">
        <f>IF(_xlfn.XLOOKUP(C998, ABZ!A:A, ABZ!B:B, "", 0) = 0, "", _xlfn.XLOOKUP(C998, ABZ!A:A, ABZ!B:B, "", 0))</f>
        <v/>
      </c>
      <c r="I998">
        <f t="shared" si="45"/>
        <v>0</v>
      </c>
      <c r="L998" s="9"/>
      <c r="M998" s="9"/>
      <c r="N998" s="18"/>
      <c r="O998" s="9"/>
      <c r="P998" s="9"/>
    </row>
    <row r="999" spans="4:20" x14ac:dyDescent="0.25">
      <c r="D999" t="str">
        <f>IF(_xlfn.XLOOKUP(C999, ABZ!A:A, ABZ!B:B, "", 0) = 0, "", _xlfn.XLOOKUP(C999, ABZ!A:A, ABZ!B:B, "", 0))</f>
        <v/>
      </c>
      <c r="I999">
        <f t="shared" si="45"/>
        <v>0</v>
      </c>
      <c r="L999" s="9"/>
      <c r="M999" s="9"/>
      <c r="N999" s="18"/>
      <c r="O999" s="9"/>
      <c r="P999" s="9"/>
    </row>
    <row r="1000" spans="4:20" x14ac:dyDescent="0.25">
      <c r="D1000" t="str">
        <f>IF(_xlfn.XLOOKUP(C1000, ABZ!A:A, ABZ!B:B, "", 0) = 0, "", _xlfn.XLOOKUP(C1000, ABZ!A:A, ABZ!B:B, "", 0))</f>
        <v/>
      </c>
      <c r="I1000">
        <f t="shared" si="45"/>
        <v>0</v>
      </c>
      <c r="L1000" s="9"/>
      <c r="M1000" s="9"/>
      <c r="N1000" s="18"/>
      <c r="O1000" s="9"/>
      <c r="P1000" s="9"/>
    </row>
    <row r="1001" spans="4:20" x14ac:dyDescent="0.25">
      <c r="D1001" t="str">
        <f>IF(_xlfn.XLOOKUP(C1001, ABZ!A:A, ABZ!B:B, "", 0) = 0, "", _xlfn.XLOOKUP(C1001, ABZ!A:A, ABZ!B:B, "", 0))</f>
        <v/>
      </c>
      <c r="I1001">
        <f t="shared" si="45"/>
        <v>0</v>
      </c>
      <c r="L1001" s="9"/>
      <c r="M1001" s="9"/>
      <c r="N1001" s="18"/>
      <c r="O1001" s="9"/>
      <c r="P1001" s="9"/>
    </row>
    <row r="1002" spans="4:20" x14ac:dyDescent="0.25">
      <c r="D1002" t="str">
        <f>IF(_xlfn.XLOOKUP(C1002, ABZ!A:A, ABZ!B:B, "", 0) = 0, "", _xlfn.XLOOKUP(C1002, ABZ!A:A, ABZ!B:B, "", 0))</f>
        <v/>
      </c>
      <c r="I1002">
        <f t="shared" si="45"/>
        <v>0</v>
      </c>
      <c r="L1002" s="9"/>
      <c r="M1002" s="9"/>
      <c r="N1002" s="18"/>
      <c r="O1002" s="9"/>
      <c r="P1002" s="9"/>
    </row>
    <row r="1003" spans="4:20" x14ac:dyDescent="0.25">
      <c r="D1003" t="str">
        <f>IF(_xlfn.XLOOKUP(C1003, ABZ!A:A, ABZ!B:B, "", 0) = 0, "", _xlfn.XLOOKUP(C1003, ABZ!A:A, ABZ!B:B, "", 0))</f>
        <v/>
      </c>
      <c r="I1003">
        <f t="shared" si="45"/>
        <v>0</v>
      </c>
      <c r="L1003" s="9"/>
      <c r="M1003" s="9"/>
      <c r="N1003" s="18"/>
      <c r="O1003" s="9"/>
      <c r="P1003" s="9"/>
    </row>
    <row r="1004" spans="4:20" x14ac:dyDescent="0.25">
      <c r="D1004" t="str">
        <f>IF(_xlfn.XLOOKUP(C1004, ABZ!A:A, ABZ!B:B, "", 0) = 0, "", _xlfn.XLOOKUP(C1004, ABZ!A:A, ABZ!B:B, "", 0))</f>
        <v/>
      </c>
      <c r="I1004">
        <f t="shared" si="45"/>
        <v>0</v>
      </c>
      <c r="L1004" s="9"/>
      <c r="M1004" s="9"/>
      <c r="N1004" s="18"/>
      <c r="O1004" s="9"/>
      <c r="P1004" s="9"/>
    </row>
    <row r="1005" spans="4:20" x14ac:dyDescent="0.25">
      <c r="D1005" t="str">
        <f>IF(_xlfn.XLOOKUP(C1005, ABZ!A:A, ABZ!B:B, "", 0) = 0, "", _xlfn.XLOOKUP(C1005, ABZ!A:A, ABZ!B:B, "", 0))</f>
        <v/>
      </c>
      <c r="I1005">
        <f t="shared" si="45"/>
        <v>0</v>
      </c>
      <c r="L1005" s="9"/>
      <c r="M1005" s="9"/>
      <c r="N1005" s="18"/>
      <c r="O1005" s="9"/>
      <c r="P1005" s="9"/>
    </row>
    <row r="1006" spans="4:20" x14ac:dyDescent="0.25">
      <c r="D1006" t="str">
        <f>IF(_xlfn.XLOOKUP(C1006, ABZ!A:A, ABZ!B:B, "", 0) = 0, "", _xlfn.XLOOKUP(C1006, ABZ!A:A, ABZ!B:B, "", 0))</f>
        <v/>
      </c>
      <c r="I1006">
        <f t="shared" si="45"/>
        <v>0</v>
      </c>
      <c r="L1006" s="9"/>
      <c r="M1006" s="9"/>
      <c r="N1006" s="18"/>
      <c r="O1006" s="9"/>
      <c r="P1006" s="9"/>
    </row>
    <row r="1007" spans="4:20" x14ac:dyDescent="0.25">
      <c r="D1007" t="str">
        <f>IF(_xlfn.XLOOKUP(C1007, ABZ!A:A, ABZ!B:B, "", 0) = 0, "", _xlfn.XLOOKUP(C1007, ABZ!A:A, ABZ!B:B, "", 0))</f>
        <v/>
      </c>
      <c r="I1007">
        <f t="shared" si="45"/>
        <v>0</v>
      </c>
      <c r="L1007" s="9"/>
      <c r="M1007" s="9"/>
      <c r="N1007" s="18"/>
      <c r="O1007" s="9"/>
      <c r="P1007" s="9"/>
    </row>
    <row r="1008" spans="4:20" x14ac:dyDescent="0.25">
      <c r="D1008" t="str">
        <f>IF(_xlfn.XLOOKUP(C1008, ABZ!A:A, ABZ!B:B, "", 0) = 0, "", _xlfn.XLOOKUP(C1008, ABZ!A:A, ABZ!B:B, "", 0))</f>
        <v/>
      </c>
      <c r="I1008">
        <f t="shared" si="45"/>
        <v>0</v>
      </c>
      <c r="L1008" s="9"/>
      <c r="M1008" s="9"/>
      <c r="N1008" s="18"/>
      <c r="O1008" s="9"/>
      <c r="P1008" s="9"/>
    </row>
    <row r="1009" spans="4:16" x14ac:dyDescent="0.25">
      <c r="D1009" t="str">
        <f>IF(_xlfn.XLOOKUP(C1009, ABZ!A:A, ABZ!B:B, "", 0) = 0, "", _xlfn.XLOOKUP(C1009, ABZ!A:A, ABZ!B:B, "", 0))</f>
        <v/>
      </c>
      <c r="I1009">
        <f t="shared" si="45"/>
        <v>0</v>
      </c>
      <c r="L1009" s="9"/>
      <c r="M1009" s="9"/>
      <c r="N1009" s="18"/>
      <c r="O1009" s="9"/>
      <c r="P1009" s="9"/>
    </row>
    <row r="1010" spans="4:16" x14ac:dyDescent="0.25">
      <c r="D1010" t="str">
        <f>IF(_xlfn.XLOOKUP(C1010, ABZ!A:A, ABZ!B:B, "", 0) = 0, "", _xlfn.XLOOKUP(C1010, ABZ!A:A, ABZ!B:B, "", 0))</f>
        <v/>
      </c>
      <c r="I1010">
        <f t="shared" si="45"/>
        <v>0</v>
      </c>
      <c r="L1010" s="9"/>
      <c r="M1010" s="9"/>
      <c r="N1010" s="18"/>
      <c r="O1010" s="9"/>
      <c r="P1010" s="9"/>
    </row>
    <row r="1011" spans="4:16" x14ac:dyDescent="0.25">
      <c r="D1011" t="str">
        <f>IF(_xlfn.XLOOKUP(C1011, ABZ!A:A, ABZ!B:B, "", 0) = 0, "", _xlfn.XLOOKUP(C1011, ABZ!A:A, ABZ!B:B, "", 0))</f>
        <v/>
      </c>
      <c r="I1011">
        <f t="shared" si="45"/>
        <v>0</v>
      </c>
      <c r="L1011" s="9"/>
      <c r="M1011" s="9"/>
      <c r="N1011" s="18"/>
      <c r="O1011" s="9"/>
      <c r="P1011" s="9"/>
    </row>
    <row r="1012" spans="4:16" x14ac:dyDescent="0.25">
      <c r="D1012" t="str">
        <f>IF(_xlfn.XLOOKUP(C1012, ABZ!A:A, ABZ!B:B, "", 0) = 0, "", _xlfn.XLOOKUP(C1012, ABZ!A:A, ABZ!B:B, "", 0))</f>
        <v/>
      </c>
      <c r="I1012">
        <f t="shared" si="45"/>
        <v>0</v>
      </c>
      <c r="L1012" s="9"/>
      <c r="M1012" s="9"/>
      <c r="N1012" s="18"/>
      <c r="O1012" s="9"/>
      <c r="P1012" s="9"/>
    </row>
    <row r="1013" spans="4:16" x14ac:dyDescent="0.25">
      <c r="D1013" t="str">
        <f>IF(_xlfn.XLOOKUP(C1013, ABZ!A:A, ABZ!B:B, "", 0) = 0, "", _xlfn.XLOOKUP(C1013, ABZ!A:A, ABZ!B:B, "", 0))</f>
        <v/>
      </c>
      <c r="I1013">
        <f t="shared" si="45"/>
        <v>0</v>
      </c>
      <c r="L1013" s="9"/>
      <c r="M1013" s="9"/>
      <c r="N1013" s="18"/>
      <c r="O1013" s="9"/>
      <c r="P1013" s="9"/>
    </row>
    <row r="1014" spans="4:16" x14ac:dyDescent="0.25">
      <c r="D1014" t="str">
        <f>IF(_xlfn.XLOOKUP(C1014, ABZ!A:A, ABZ!B:B, "", 0) = 0, "", _xlfn.XLOOKUP(C1014, ABZ!A:A, ABZ!B:B, "", 0))</f>
        <v/>
      </c>
      <c r="I1014">
        <f t="shared" si="45"/>
        <v>0</v>
      </c>
      <c r="L1014" s="9"/>
      <c r="M1014" s="9"/>
      <c r="N1014" s="18"/>
      <c r="O1014" s="9"/>
      <c r="P1014" s="9"/>
    </row>
    <row r="1015" spans="4:16" x14ac:dyDescent="0.25">
      <c r="D1015" t="str">
        <f>IF(_xlfn.XLOOKUP(C1015, ABZ!A:A, ABZ!B:B, "", 0) = 0, "", _xlfn.XLOOKUP(C1015, ABZ!A:A, ABZ!B:B, "", 0))</f>
        <v/>
      </c>
      <c r="I1015">
        <f t="shared" si="45"/>
        <v>0</v>
      </c>
      <c r="L1015" s="9"/>
      <c r="M1015" s="9"/>
      <c r="N1015" s="18"/>
      <c r="O1015" s="9"/>
      <c r="P1015" s="9"/>
    </row>
    <row r="1016" spans="4:16" x14ac:dyDescent="0.25">
      <c r="D1016" t="str">
        <f>IF(_xlfn.XLOOKUP(C1016, ABZ!A:A, ABZ!B:B, "", 0) = 0, "", _xlfn.XLOOKUP(C1016, ABZ!A:A, ABZ!B:B, "", 0))</f>
        <v/>
      </c>
      <c r="I1016">
        <f t="shared" si="45"/>
        <v>0</v>
      </c>
      <c r="L1016" s="9"/>
      <c r="M1016" s="9"/>
      <c r="N1016" s="18"/>
      <c r="O1016" s="9"/>
      <c r="P1016" s="9"/>
    </row>
    <row r="1017" spans="4:16" x14ac:dyDescent="0.25">
      <c r="D1017" t="str">
        <f>IF(_xlfn.XLOOKUP(C1017, ABZ!A:A, ABZ!B:B, "", 0) = 0, "", _xlfn.XLOOKUP(C1017, ABZ!A:A, ABZ!B:B, "", 0))</f>
        <v/>
      </c>
      <c r="I1017">
        <f t="shared" si="45"/>
        <v>0</v>
      </c>
      <c r="L1017" s="9"/>
      <c r="M1017" s="9"/>
      <c r="N1017" s="18"/>
      <c r="O1017" s="9"/>
      <c r="P1017" s="9"/>
    </row>
    <row r="1018" spans="4:16" x14ac:dyDescent="0.25">
      <c r="D1018" t="str">
        <f>IF(_xlfn.XLOOKUP(C1018, ABZ!A:A, ABZ!B:B, "", 0) = 0, "", _xlfn.XLOOKUP(C1018, ABZ!A:A, ABZ!B:B, "", 0))</f>
        <v/>
      </c>
      <c r="I1018">
        <f t="shared" si="45"/>
        <v>0</v>
      </c>
      <c r="L1018" s="9"/>
      <c r="M1018" s="9"/>
      <c r="N1018" s="18"/>
      <c r="O1018" s="9"/>
      <c r="P1018" s="9"/>
    </row>
    <row r="1019" spans="4:16" x14ac:dyDescent="0.25">
      <c r="D1019" t="str">
        <f>IF(_xlfn.XLOOKUP(C1019, ABZ!A:A, ABZ!B:B, "", 0) = 0, "", _xlfn.XLOOKUP(C1019, ABZ!A:A, ABZ!B:B, "", 0))</f>
        <v/>
      </c>
      <c r="I1019">
        <f t="shared" si="45"/>
        <v>0</v>
      </c>
      <c r="L1019" s="9"/>
      <c r="M1019" s="9"/>
      <c r="N1019" s="18"/>
      <c r="O1019" s="9"/>
      <c r="P1019" s="9"/>
    </row>
    <row r="1020" spans="4:16" x14ac:dyDescent="0.25">
      <c r="D1020" t="str">
        <f>IF(_xlfn.XLOOKUP(C1020, ABZ!A:A, ABZ!B:B, "", 0) = 0, "", _xlfn.XLOOKUP(C1020, ABZ!A:A, ABZ!B:B, "", 0))</f>
        <v/>
      </c>
      <c r="I1020">
        <f t="shared" si="45"/>
        <v>0</v>
      </c>
      <c r="L1020" s="9"/>
      <c r="M1020" s="9"/>
      <c r="N1020" s="18"/>
      <c r="O1020" s="9"/>
      <c r="P1020" s="9"/>
    </row>
    <row r="1021" spans="4:16" x14ac:dyDescent="0.25">
      <c r="D1021" t="str">
        <f>IF(_xlfn.XLOOKUP(C1021, ABZ!A:A, ABZ!B:B, "", 0) = 0, "", _xlfn.XLOOKUP(C1021, ABZ!A:A, ABZ!B:B, "", 0))</f>
        <v/>
      </c>
      <c r="I1021">
        <f t="shared" si="45"/>
        <v>0</v>
      </c>
      <c r="L1021" s="9"/>
      <c r="M1021" s="9"/>
      <c r="N1021" s="18"/>
      <c r="O1021" s="9"/>
      <c r="P1021" s="9"/>
    </row>
    <row r="1022" spans="4:16" x14ac:dyDescent="0.25">
      <c r="D1022" t="str">
        <f>IF(_xlfn.XLOOKUP(C1022, ABZ!A:A, ABZ!B:B, "", 0) = 0, "", _xlfn.XLOOKUP(C1022, ABZ!A:A, ABZ!B:B, "", 0))</f>
        <v/>
      </c>
      <c r="I1022">
        <f t="shared" si="45"/>
        <v>0</v>
      </c>
      <c r="L1022" s="9"/>
      <c r="M1022" s="9"/>
      <c r="N1022" s="18"/>
      <c r="O1022" s="9"/>
      <c r="P1022" s="9"/>
    </row>
    <row r="1023" spans="4:16" x14ac:dyDescent="0.25">
      <c r="D1023" t="str">
        <f>IF(_xlfn.XLOOKUP(C1023, ABZ!A:A, ABZ!B:B, "", 0) = 0, "", _xlfn.XLOOKUP(C1023, ABZ!A:A, ABZ!B:B, "", 0))</f>
        <v/>
      </c>
      <c r="I1023">
        <f t="shared" si="45"/>
        <v>0</v>
      </c>
      <c r="L1023" s="9"/>
      <c r="M1023" s="9"/>
      <c r="N1023" s="18"/>
      <c r="O1023" s="9"/>
      <c r="P1023" s="9"/>
    </row>
    <row r="1024" spans="4:16" x14ac:dyDescent="0.25">
      <c r="D1024" t="str">
        <f>IF(_xlfn.XLOOKUP(C1024, ABZ!A:A, ABZ!B:B, "", 0) = 0, "", _xlfn.XLOOKUP(C1024, ABZ!A:A, ABZ!B:B, "", 0))</f>
        <v/>
      </c>
      <c r="I1024">
        <f t="shared" si="45"/>
        <v>0</v>
      </c>
      <c r="L1024" s="9"/>
      <c r="M1024" s="9"/>
      <c r="N1024" s="18"/>
      <c r="O1024" s="9"/>
      <c r="P1024" s="9"/>
    </row>
    <row r="1025" spans="4:16" x14ac:dyDescent="0.25">
      <c r="D1025" t="str">
        <f>IF(_xlfn.XLOOKUP(C1025, ABZ!A:A, ABZ!B:B, "", 0) = 0, "", _xlfn.XLOOKUP(C1025, ABZ!A:A, ABZ!B:B, "", 0))</f>
        <v/>
      </c>
      <c r="I1025">
        <f t="shared" si="45"/>
        <v>0</v>
      </c>
      <c r="L1025" s="9"/>
      <c r="M1025" s="9"/>
      <c r="N1025" s="18"/>
      <c r="O1025" s="9"/>
      <c r="P1025" s="9"/>
    </row>
    <row r="1026" spans="4:16" x14ac:dyDescent="0.25">
      <c r="D1026" t="str">
        <f>IF(_xlfn.XLOOKUP(C1026, ABZ!A:A, ABZ!B:B, "", 0) = 0, "", _xlfn.XLOOKUP(C1026, ABZ!A:A, ABZ!B:B, "", 0))</f>
        <v/>
      </c>
      <c r="I1026">
        <f t="shared" si="45"/>
        <v>0</v>
      </c>
      <c r="L1026" s="9"/>
      <c r="M1026" s="9"/>
      <c r="N1026" s="18"/>
      <c r="O1026" s="9"/>
      <c r="P1026" s="9"/>
    </row>
    <row r="1027" spans="4:16" x14ac:dyDescent="0.25">
      <c r="D1027" t="str">
        <f>IF(_xlfn.XLOOKUP(C1027, ABZ!A:A, ABZ!B:B, "", 0) = 0, "", _xlfn.XLOOKUP(C1027, ABZ!A:A, ABZ!B:B, "", 0))</f>
        <v/>
      </c>
      <c r="I1027">
        <f t="shared" ref="I1027:I1090" si="48">IF(AND(O1027&lt;&gt;"",L1027&lt;&gt;""),IF((O1027-L1027)&lt;=2,1,0),0)</f>
        <v>0</v>
      </c>
      <c r="L1027" s="9"/>
      <c r="M1027" s="9"/>
      <c r="N1027" s="18"/>
      <c r="O1027" s="9"/>
      <c r="P1027" s="9"/>
    </row>
    <row r="1028" spans="4:16" x14ac:dyDescent="0.25">
      <c r="D1028" t="str">
        <f>IF(_xlfn.XLOOKUP(C1028, ABZ!A:A, ABZ!B:B, "", 0) = 0, "", _xlfn.XLOOKUP(C1028, ABZ!A:A, ABZ!B:B, "", 0))</f>
        <v/>
      </c>
      <c r="I1028">
        <f t="shared" si="48"/>
        <v>0</v>
      </c>
      <c r="L1028" s="9"/>
      <c r="M1028" s="9"/>
      <c r="N1028" s="18"/>
      <c r="O1028" s="9"/>
      <c r="P1028" s="9"/>
    </row>
    <row r="1029" spans="4:16" x14ac:dyDescent="0.25">
      <c r="D1029" t="str">
        <f>IF(_xlfn.XLOOKUP(C1029, ABZ!A:A, ABZ!B:B, "", 0) = 0, "", _xlfn.XLOOKUP(C1029, ABZ!A:A, ABZ!B:B, "", 0))</f>
        <v/>
      </c>
      <c r="I1029">
        <f t="shared" si="48"/>
        <v>0</v>
      </c>
      <c r="L1029" s="9"/>
      <c r="M1029" s="9"/>
      <c r="N1029" s="18"/>
      <c r="O1029" s="9"/>
      <c r="P1029" s="9"/>
    </row>
    <row r="1030" spans="4:16" x14ac:dyDescent="0.25">
      <c r="D1030" t="str">
        <f>IF(_xlfn.XLOOKUP(C1030, ABZ!A:A, ABZ!B:B, "", 0) = 0, "", _xlfn.XLOOKUP(C1030, ABZ!A:A, ABZ!B:B, "", 0))</f>
        <v/>
      </c>
      <c r="I1030">
        <f t="shared" si="48"/>
        <v>0</v>
      </c>
      <c r="L1030" s="9"/>
      <c r="M1030" s="9"/>
      <c r="N1030" s="18"/>
      <c r="O1030" s="9"/>
      <c r="P1030" s="9"/>
    </row>
    <row r="1031" spans="4:16" x14ac:dyDescent="0.25">
      <c r="D1031" t="str">
        <f>IF(_xlfn.XLOOKUP(C1031, ABZ!A:A, ABZ!B:B, "", 0) = 0, "", _xlfn.XLOOKUP(C1031, ABZ!A:A, ABZ!B:B, "", 0))</f>
        <v/>
      </c>
      <c r="I1031">
        <f t="shared" si="48"/>
        <v>0</v>
      </c>
      <c r="L1031" s="9"/>
      <c r="M1031" s="9"/>
      <c r="N1031" s="18"/>
      <c r="O1031" s="9"/>
      <c r="P1031" s="9"/>
    </row>
    <row r="1032" spans="4:16" x14ac:dyDescent="0.25">
      <c r="D1032" t="str">
        <f>IF(_xlfn.XLOOKUP(C1032, ABZ!A:A, ABZ!B:B, "", 0) = 0, "", _xlfn.XLOOKUP(C1032, ABZ!A:A, ABZ!B:B, "", 0))</f>
        <v/>
      </c>
      <c r="I1032">
        <f t="shared" si="48"/>
        <v>0</v>
      </c>
      <c r="L1032" s="9"/>
      <c r="M1032" s="9"/>
      <c r="N1032" s="18"/>
      <c r="O1032" s="9"/>
      <c r="P1032" s="9"/>
    </row>
    <row r="1033" spans="4:16" x14ac:dyDescent="0.25">
      <c r="D1033" t="str">
        <f>IF(_xlfn.XLOOKUP(C1033, ABZ!A:A, ABZ!B:B, "", 0) = 0, "", _xlfn.XLOOKUP(C1033, ABZ!A:A, ABZ!B:B, "", 0))</f>
        <v/>
      </c>
      <c r="I1033">
        <f t="shared" si="48"/>
        <v>0</v>
      </c>
      <c r="L1033" s="9"/>
      <c r="M1033" s="9"/>
      <c r="N1033" s="18"/>
      <c r="O1033" s="9"/>
      <c r="P1033" s="9"/>
    </row>
    <row r="1034" spans="4:16" x14ac:dyDescent="0.25">
      <c r="D1034" t="str">
        <f>IF(_xlfn.XLOOKUP(C1034, ABZ!A:A, ABZ!B:B, "", 0) = 0, "", _xlfn.XLOOKUP(C1034, ABZ!A:A, ABZ!B:B, "", 0))</f>
        <v/>
      </c>
      <c r="I1034">
        <f t="shared" si="48"/>
        <v>0</v>
      </c>
      <c r="M1034" s="9"/>
      <c r="N1034" s="18"/>
      <c r="P1034" s="9"/>
    </row>
    <row r="1035" spans="4:16" x14ac:dyDescent="0.25">
      <c r="D1035" t="str">
        <f>IF(_xlfn.XLOOKUP(C1035, ABZ!A:A, ABZ!B:B, "", 0) = 0, "", _xlfn.XLOOKUP(C1035, ABZ!A:A, ABZ!B:B, "", 0))</f>
        <v/>
      </c>
      <c r="I1035">
        <f t="shared" si="48"/>
        <v>0</v>
      </c>
      <c r="M1035" s="9"/>
      <c r="N1035" s="18"/>
      <c r="P1035" s="9"/>
    </row>
    <row r="1036" spans="4:16" x14ac:dyDescent="0.25">
      <c r="D1036" t="str">
        <f>IF(_xlfn.XLOOKUP(C1036, ABZ!A:A, ABZ!B:B, "", 0) = 0, "", _xlfn.XLOOKUP(C1036, ABZ!A:A, ABZ!B:B, "", 0))</f>
        <v/>
      </c>
      <c r="I1036">
        <f t="shared" si="48"/>
        <v>0</v>
      </c>
      <c r="M1036" s="9"/>
      <c r="N1036" s="18"/>
      <c r="P1036" s="9"/>
    </row>
    <row r="1037" spans="4:16" x14ac:dyDescent="0.25">
      <c r="D1037" t="str">
        <f>IF(_xlfn.XLOOKUP(C1037, ABZ!A:A, ABZ!B:B, "", 0) = 0, "", _xlfn.XLOOKUP(C1037, ABZ!A:A, ABZ!B:B, "", 0))</f>
        <v/>
      </c>
      <c r="I1037">
        <f t="shared" si="48"/>
        <v>0</v>
      </c>
      <c r="M1037" s="9"/>
      <c r="N1037" s="18"/>
      <c r="P1037" s="9"/>
    </row>
    <row r="1038" spans="4:16" x14ac:dyDescent="0.25">
      <c r="D1038" t="str">
        <f>IF(_xlfn.XLOOKUP(C1038, ABZ!A:A, ABZ!B:B, "", 0) = 0, "", _xlfn.XLOOKUP(C1038, ABZ!A:A, ABZ!B:B, "", 0))</f>
        <v/>
      </c>
      <c r="I1038">
        <f t="shared" si="48"/>
        <v>0</v>
      </c>
      <c r="M1038" s="9"/>
      <c r="N1038" s="18"/>
      <c r="P1038" s="9"/>
    </row>
    <row r="1039" spans="4:16" x14ac:dyDescent="0.25">
      <c r="D1039" t="str">
        <f>IF(_xlfn.XLOOKUP(C1039, ABZ!A:A, ABZ!B:B, "", 0) = 0, "", _xlfn.XLOOKUP(C1039, ABZ!A:A, ABZ!B:B, "", 0))</f>
        <v/>
      </c>
      <c r="I1039">
        <f t="shared" si="48"/>
        <v>0</v>
      </c>
      <c r="M1039" s="9"/>
      <c r="N1039" s="18"/>
      <c r="P1039" s="9"/>
    </row>
    <row r="1040" spans="4:16" x14ac:dyDescent="0.25">
      <c r="D1040" t="str">
        <f>IF(_xlfn.XLOOKUP(C1040, ABZ!A:A, ABZ!B:B, "", 0) = 0, "", _xlfn.XLOOKUP(C1040, ABZ!A:A, ABZ!B:B, "", 0))</f>
        <v/>
      </c>
      <c r="I1040">
        <f t="shared" si="48"/>
        <v>0</v>
      </c>
      <c r="M1040" s="9"/>
      <c r="N1040" s="18"/>
      <c r="P1040" s="9"/>
    </row>
    <row r="1041" spans="4:16" x14ac:dyDescent="0.25">
      <c r="D1041" t="str">
        <f>IF(_xlfn.XLOOKUP(C1041, ABZ!A:A, ABZ!B:B, "", 0) = 0, "", _xlfn.XLOOKUP(C1041, ABZ!A:A, ABZ!B:B, "", 0))</f>
        <v/>
      </c>
      <c r="I1041">
        <f t="shared" si="48"/>
        <v>0</v>
      </c>
      <c r="M1041" s="9"/>
      <c r="N1041" s="18"/>
      <c r="P1041" s="9"/>
    </row>
    <row r="1042" spans="4:16" x14ac:dyDescent="0.25">
      <c r="D1042" t="str">
        <f>IF(_xlfn.XLOOKUP(C1042, ABZ!A:A, ABZ!B:B, "", 0) = 0, "", _xlfn.XLOOKUP(C1042, ABZ!A:A, ABZ!B:B, "", 0))</f>
        <v/>
      </c>
      <c r="I1042">
        <f t="shared" si="48"/>
        <v>0</v>
      </c>
      <c r="M1042" s="9"/>
      <c r="N1042" s="18"/>
      <c r="P1042" s="9"/>
    </row>
    <row r="1043" spans="4:16" x14ac:dyDescent="0.25">
      <c r="D1043" t="str">
        <f>IF(_xlfn.XLOOKUP(C1043, ABZ!A:A, ABZ!B:B, "", 0) = 0, "", _xlfn.XLOOKUP(C1043, ABZ!A:A, ABZ!B:B, "", 0))</f>
        <v/>
      </c>
      <c r="I1043">
        <f t="shared" si="48"/>
        <v>0</v>
      </c>
      <c r="M1043" s="9"/>
      <c r="N1043" s="18"/>
      <c r="P1043" s="9"/>
    </row>
    <row r="1044" spans="4:16" x14ac:dyDescent="0.25">
      <c r="D1044" t="str">
        <f>IF(_xlfn.XLOOKUP(C1044, ABZ!A:A, ABZ!B:B, "", 0) = 0, "", _xlfn.XLOOKUP(C1044, ABZ!A:A, ABZ!B:B, "", 0))</f>
        <v/>
      </c>
      <c r="I1044">
        <f t="shared" si="48"/>
        <v>0</v>
      </c>
      <c r="M1044" s="9"/>
      <c r="N1044" s="18"/>
      <c r="P1044" s="9"/>
    </row>
    <row r="1045" spans="4:16" x14ac:dyDescent="0.25">
      <c r="D1045" t="str">
        <f>IF(_xlfn.XLOOKUP(C1045, ABZ!A:A, ABZ!B:B, "", 0) = 0, "", _xlfn.XLOOKUP(C1045, ABZ!A:A, ABZ!B:B, "", 0))</f>
        <v/>
      </c>
      <c r="I1045">
        <f t="shared" si="48"/>
        <v>0</v>
      </c>
      <c r="M1045" s="9"/>
      <c r="N1045" s="18"/>
      <c r="P1045" s="9"/>
    </row>
    <row r="1046" spans="4:16" x14ac:dyDescent="0.25">
      <c r="D1046" t="str">
        <f>IF(_xlfn.XLOOKUP(C1046, ABZ!A:A, ABZ!B:B, "", 0) = 0, "", _xlfn.XLOOKUP(C1046, ABZ!A:A, ABZ!B:B, "", 0))</f>
        <v/>
      </c>
      <c r="I1046">
        <f t="shared" si="48"/>
        <v>0</v>
      </c>
      <c r="M1046" s="9"/>
      <c r="N1046" s="18"/>
      <c r="P1046" s="9"/>
    </row>
    <row r="1047" spans="4:16" x14ac:dyDescent="0.25">
      <c r="D1047" t="str">
        <f>IF(_xlfn.XLOOKUP(C1047, ABZ!A:A, ABZ!B:B, "", 0) = 0, "", _xlfn.XLOOKUP(C1047, ABZ!A:A, ABZ!B:B, "", 0))</f>
        <v/>
      </c>
      <c r="I1047">
        <f t="shared" si="48"/>
        <v>0</v>
      </c>
      <c r="M1047" s="9"/>
      <c r="N1047" s="18"/>
      <c r="P1047" s="9"/>
    </row>
    <row r="1048" spans="4:16" x14ac:dyDescent="0.25">
      <c r="D1048" t="str">
        <f>IF(_xlfn.XLOOKUP(C1048, ABZ!A:A, ABZ!B:B, "", 0) = 0, "", _xlfn.XLOOKUP(C1048, ABZ!A:A, ABZ!B:B, "", 0))</f>
        <v/>
      </c>
      <c r="I1048">
        <f t="shared" si="48"/>
        <v>0</v>
      </c>
      <c r="M1048" s="9"/>
      <c r="N1048" s="18"/>
      <c r="P1048" s="9"/>
    </row>
    <row r="1049" spans="4:16" x14ac:dyDescent="0.25">
      <c r="D1049" t="str">
        <f>IF(_xlfn.XLOOKUP(C1049, ABZ!A:A, ABZ!B:B, "", 0) = 0, "", _xlfn.XLOOKUP(C1049, ABZ!A:A, ABZ!B:B, "", 0))</f>
        <v/>
      </c>
      <c r="I1049">
        <f t="shared" si="48"/>
        <v>0</v>
      </c>
      <c r="M1049" s="9"/>
      <c r="N1049" s="18"/>
      <c r="P1049" s="9"/>
    </row>
    <row r="1050" spans="4:16" x14ac:dyDescent="0.25">
      <c r="D1050" t="str">
        <f>IF(_xlfn.XLOOKUP(C1050, ABZ!A:A, ABZ!B:B, "", 0) = 0, "", _xlfn.XLOOKUP(C1050, ABZ!A:A, ABZ!B:B, "", 0))</f>
        <v/>
      </c>
      <c r="I1050">
        <f t="shared" si="48"/>
        <v>0</v>
      </c>
      <c r="M1050" s="9"/>
      <c r="N1050" s="18"/>
      <c r="P1050" s="9"/>
    </row>
    <row r="1051" spans="4:16" x14ac:dyDescent="0.25">
      <c r="D1051" t="str">
        <f>IF(_xlfn.XLOOKUP(C1051, ABZ!A:A, ABZ!B:B, "", 0) = 0, "", _xlfn.XLOOKUP(C1051, ABZ!A:A, ABZ!B:B, "", 0))</f>
        <v/>
      </c>
      <c r="I1051">
        <f t="shared" si="48"/>
        <v>0</v>
      </c>
      <c r="M1051" s="9"/>
      <c r="N1051" s="18"/>
      <c r="P1051" s="9"/>
    </row>
    <row r="1052" spans="4:16" x14ac:dyDescent="0.25">
      <c r="D1052" t="str">
        <f>IF(_xlfn.XLOOKUP(C1052, ABZ!A:A, ABZ!B:B, "", 0) = 0, "", _xlfn.XLOOKUP(C1052, ABZ!A:A, ABZ!B:B, "", 0))</f>
        <v/>
      </c>
      <c r="I1052">
        <f t="shared" si="48"/>
        <v>0</v>
      </c>
      <c r="M1052" s="9"/>
      <c r="N1052" s="18"/>
      <c r="P1052" s="9"/>
    </row>
    <row r="1053" spans="4:16" x14ac:dyDescent="0.25">
      <c r="D1053" t="str">
        <f>IF(_xlfn.XLOOKUP(C1053, ABZ!A:A, ABZ!B:B, "", 0) = 0, "", _xlfn.XLOOKUP(C1053, ABZ!A:A, ABZ!B:B, "", 0))</f>
        <v/>
      </c>
      <c r="I1053">
        <f t="shared" si="48"/>
        <v>0</v>
      </c>
      <c r="M1053" s="9"/>
      <c r="N1053" s="18"/>
      <c r="P1053" s="9"/>
    </row>
    <row r="1054" spans="4:16" x14ac:dyDescent="0.25">
      <c r="D1054" t="str">
        <f>IF(_xlfn.XLOOKUP(C1054, ABZ!A:A, ABZ!B:B, "", 0) = 0, "", _xlfn.XLOOKUP(C1054, ABZ!A:A, ABZ!B:B, "", 0))</f>
        <v/>
      </c>
      <c r="I1054">
        <f t="shared" si="48"/>
        <v>0</v>
      </c>
      <c r="M1054" s="9"/>
      <c r="N1054" s="18"/>
      <c r="P1054" s="9"/>
    </row>
    <row r="1055" spans="4:16" x14ac:dyDescent="0.25">
      <c r="D1055" t="str">
        <f>IF(_xlfn.XLOOKUP(C1055, ABZ!A:A, ABZ!B:B, "", 0) = 0, "", _xlfn.XLOOKUP(C1055, ABZ!A:A, ABZ!B:B, "", 0))</f>
        <v/>
      </c>
      <c r="I1055">
        <f t="shared" si="48"/>
        <v>0</v>
      </c>
      <c r="M1055" s="9"/>
      <c r="N1055" s="18"/>
      <c r="P1055" s="9"/>
    </row>
    <row r="1056" spans="4:16" x14ac:dyDescent="0.25">
      <c r="D1056" t="str">
        <f>IF(_xlfn.XLOOKUP(C1056, ABZ!A:A, ABZ!B:B, "", 0) = 0, "", _xlfn.XLOOKUP(C1056, ABZ!A:A, ABZ!B:B, "", 0))</f>
        <v/>
      </c>
      <c r="I1056">
        <f t="shared" si="48"/>
        <v>0</v>
      </c>
      <c r="M1056" s="9"/>
      <c r="N1056" s="18"/>
      <c r="P1056" s="9"/>
    </row>
    <row r="1057" spans="4:16" x14ac:dyDescent="0.25">
      <c r="D1057" t="str">
        <f>IF(_xlfn.XLOOKUP(C1057, ABZ!A:A, ABZ!B:B, "", 0) = 0, "", _xlfn.XLOOKUP(C1057, ABZ!A:A, ABZ!B:B, "", 0))</f>
        <v/>
      </c>
      <c r="I1057">
        <f t="shared" si="48"/>
        <v>0</v>
      </c>
      <c r="M1057" s="9"/>
      <c r="N1057" s="18"/>
      <c r="P1057" s="9"/>
    </row>
    <row r="1058" spans="4:16" x14ac:dyDescent="0.25">
      <c r="D1058" t="str">
        <f>IF(_xlfn.XLOOKUP(C1058, ABZ!A:A, ABZ!B:B, "", 0) = 0, "", _xlfn.XLOOKUP(C1058, ABZ!A:A, ABZ!B:B, "", 0))</f>
        <v/>
      </c>
      <c r="I1058">
        <f t="shared" si="48"/>
        <v>0</v>
      </c>
      <c r="M1058" s="9"/>
      <c r="N1058" s="18"/>
      <c r="P1058" s="9"/>
    </row>
    <row r="1059" spans="4:16" x14ac:dyDescent="0.25">
      <c r="D1059" t="str">
        <f>IF(_xlfn.XLOOKUP(C1059, ABZ!A:A, ABZ!B:B, "", 0) = 0, "", _xlfn.XLOOKUP(C1059, ABZ!A:A, ABZ!B:B, "", 0))</f>
        <v/>
      </c>
      <c r="I1059">
        <f t="shared" si="48"/>
        <v>0</v>
      </c>
      <c r="M1059" s="9"/>
      <c r="N1059" s="18"/>
      <c r="P1059" s="9"/>
    </row>
    <row r="1060" spans="4:16" x14ac:dyDescent="0.25">
      <c r="D1060" t="str">
        <f>IF(_xlfn.XLOOKUP(C1060, ABZ!A:A, ABZ!B:B, "", 0) = 0, "", _xlfn.XLOOKUP(C1060, ABZ!A:A, ABZ!B:B, "", 0))</f>
        <v/>
      </c>
      <c r="I1060">
        <f t="shared" si="48"/>
        <v>0</v>
      </c>
      <c r="M1060" s="9"/>
      <c r="N1060" s="18"/>
      <c r="P1060" s="9"/>
    </row>
    <row r="1061" spans="4:16" x14ac:dyDescent="0.25">
      <c r="D1061" t="str">
        <f>IF(_xlfn.XLOOKUP(C1061, ABZ!A:A, ABZ!B:B, "", 0) = 0, "", _xlfn.XLOOKUP(C1061, ABZ!A:A, ABZ!B:B, "", 0))</f>
        <v/>
      </c>
      <c r="I1061">
        <f t="shared" si="48"/>
        <v>0</v>
      </c>
      <c r="M1061" s="9"/>
      <c r="N1061" s="18"/>
      <c r="P1061" s="9"/>
    </row>
    <row r="1062" spans="4:16" x14ac:dyDescent="0.25">
      <c r="D1062" t="str">
        <f>IF(_xlfn.XLOOKUP(C1062, ABZ!A:A, ABZ!B:B, "", 0) = 0, "", _xlfn.XLOOKUP(C1062, ABZ!A:A, ABZ!B:B, "", 0))</f>
        <v/>
      </c>
      <c r="I1062">
        <f t="shared" si="48"/>
        <v>0</v>
      </c>
      <c r="M1062" s="9"/>
      <c r="N1062" s="18"/>
      <c r="P1062" s="9"/>
    </row>
    <row r="1063" spans="4:16" x14ac:dyDescent="0.25">
      <c r="D1063" t="str">
        <f>IF(_xlfn.XLOOKUP(C1063, ABZ!A:A, ABZ!B:B, "", 0) = 0, "", _xlfn.XLOOKUP(C1063, ABZ!A:A, ABZ!B:B, "", 0))</f>
        <v/>
      </c>
      <c r="I1063">
        <f t="shared" si="48"/>
        <v>0</v>
      </c>
      <c r="M1063" s="9"/>
      <c r="N1063" s="18"/>
      <c r="P1063" s="9"/>
    </row>
    <row r="1064" spans="4:16" x14ac:dyDescent="0.25">
      <c r="D1064" t="str">
        <f>IF(_xlfn.XLOOKUP(C1064, ABZ!A:A, ABZ!B:B, "", 0) = 0, "", _xlfn.XLOOKUP(C1064, ABZ!A:A, ABZ!B:B, "", 0))</f>
        <v/>
      </c>
      <c r="I1064">
        <f t="shared" si="48"/>
        <v>0</v>
      </c>
      <c r="M1064" s="9"/>
      <c r="N1064" s="18"/>
      <c r="P1064" s="9"/>
    </row>
    <row r="1065" spans="4:16" x14ac:dyDescent="0.25">
      <c r="D1065" t="str">
        <f>IF(_xlfn.XLOOKUP(C1065, ABZ!A:A, ABZ!B:B, "", 0) = 0, "", _xlfn.XLOOKUP(C1065, ABZ!A:A, ABZ!B:B, "", 0))</f>
        <v/>
      </c>
      <c r="I1065">
        <f t="shared" si="48"/>
        <v>0</v>
      </c>
      <c r="M1065" s="9"/>
      <c r="N1065" s="18"/>
      <c r="P1065" s="9"/>
    </row>
    <row r="1066" spans="4:16" x14ac:dyDescent="0.25">
      <c r="D1066" t="str">
        <f>IF(_xlfn.XLOOKUP(C1066, ABZ!A:A, ABZ!B:B, "", 0) = 0, "", _xlfn.XLOOKUP(C1066, ABZ!A:A, ABZ!B:B, "", 0))</f>
        <v/>
      </c>
      <c r="I1066">
        <f t="shared" si="48"/>
        <v>0</v>
      </c>
      <c r="M1066" s="9"/>
      <c r="N1066" s="18"/>
      <c r="P1066" s="9"/>
    </row>
    <row r="1067" spans="4:16" x14ac:dyDescent="0.25">
      <c r="D1067" t="str">
        <f>IF(_xlfn.XLOOKUP(C1067, ABZ!A:A, ABZ!B:B, "", 0) = 0, "", _xlfn.XLOOKUP(C1067, ABZ!A:A, ABZ!B:B, "", 0))</f>
        <v/>
      </c>
      <c r="I1067">
        <f t="shared" si="48"/>
        <v>0</v>
      </c>
      <c r="M1067" s="9"/>
      <c r="N1067" s="18"/>
      <c r="P1067" s="9"/>
    </row>
    <row r="1068" spans="4:16" x14ac:dyDescent="0.25">
      <c r="D1068" t="str">
        <f>IF(_xlfn.XLOOKUP(C1068, ABZ!A:A, ABZ!B:B, "", 0) = 0, "", _xlfn.XLOOKUP(C1068, ABZ!A:A, ABZ!B:B, "", 0))</f>
        <v/>
      </c>
      <c r="I1068">
        <f t="shared" si="48"/>
        <v>0</v>
      </c>
      <c r="M1068" s="9"/>
      <c r="N1068" s="18"/>
      <c r="P1068" s="9"/>
    </row>
    <row r="1069" spans="4:16" x14ac:dyDescent="0.25">
      <c r="D1069" t="str">
        <f>IF(_xlfn.XLOOKUP(C1069, ABZ!A:A, ABZ!B:B, "", 0) = 0, "", _xlfn.XLOOKUP(C1069, ABZ!A:A, ABZ!B:B, "", 0))</f>
        <v/>
      </c>
      <c r="I1069">
        <f t="shared" si="48"/>
        <v>0</v>
      </c>
      <c r="M1069" s="9"/>
      <c r="N1069" s="18"/>
      <c r="P1069" s="9"/>
    </row>
    <row r="1070" spans="4:16" x14ac:dyDescent="0.25">
      <c r="D1070" t="str">
        <f>IF(_xlfn.XLOOKUP(C1070, ABZ!A:A, ABZ!B:B, "", 0) = 0, "", _xlfn.XLOOKUP(C1070, ABZ!A:A, ABZ!B:B, "", 0))</f>
        <v/>
      </c>
      <c r="I1070">
        <f t="shared" si="48"/>
        <v>0</v>
      </c>
      <c r="M1070" s="9"/>
      <c r="N1070" s="18"/>
      <c r="P1070" s="9"/>
    </row>
    <row r="1071" spans="4:16" x14ac:dyDescent="0.25">
      <c r="D1071" t="str">
        <f>IF(_xlfn.XLOOKUP(C1071, ABZ!A:A, ABZ!B:B, "", 0) = 0, "", _xlfn.XLOOKUP(C1071, ABZ!A:A, ABZ!B:B, "", 0))</f>
        <v/>
      </c>
      <c r="I1071">
        <f t="shared" si="48"/>
        <v>0</v>
      </c>
      <c r="M1071" s="9"/>
      <c r="N1071" s="18"/>
      <c r="P1071" s="9"/>
    </row>
    <row r="1072" spans="4:16" x14ac:dyDescent="0.25">
      <c r="D1072" t="str">
        <f>IF(_xlfn.XLOOKUP(C1072, ABZ!A:A, ABZ!B:B, "", 0) = 0, "", _xlfn.XLOOKUP(C1072, ABZ!A:A, ABZ!B:B, "", 0))</f>
        <v/>
      </c>
      <c r="I1072">
        <f t="shared" si="48"/>
        <v>0</v>
      </c>
      <c r="M1072" s="9"/>
      <c r="N1072" s="18"/>
      <c r="P1072" s="9"/>
    </row>
    <row r="1073" spans="4:16" x14ac:dyDescent="0.25">
      <c r="D1073" t="str">
        <f>IF(_xlfn.XLOOKUP(C1073, ABZ!A:A, ABZ!B:B, "", 0) = 0, "", _xlfn.XLOOKUP(C1073, ABZ!A:A, ABZ!B:B, "", 0))</f>
        <v/>
      </c>
      <c r="I1073">
        <f t="shared" si="48"/>
        <v>0</v>
      </c>
      <c r="M1073" s="9"/>
      <c r="N1073" s="18"/>
      <c r="P1073" s="9"/>
    </row>
    <row r="1074" spans="4:16" x14ac:dyDescent="0.25">
      <c r="D1074" t="str">
        <f>IF(_xlfn.XLOOKUP(C1074, ABZ!A:A, ABZ!B:B, "", 0) = 0, "", _xlfn.XLOOKUP(C1074, ABZ!A:A, ABZ!B:B, "", 0))</f>
        <v/>
      </c>
      <c r="I1074">
        <f t="shared" si="48"/>
        <v>0</v>
      </c>
      <c r="M1074" s="9"/>
      <c r="N1074" s="18"/>
      <c r="P1074" s="9"/>
    </row>
    <row r="1075" spans="4:16" x14ac:dyDescent="0.25">
      <c r="D1075" t="str">
        <f>IF(_xlfn.XLOOKUP(C1075, ABZ!A:A, ABZ!B:B, "", 0) = 0, "", _xlfn.XLOOKUP(C1075, ABZ!A:A, ABZ!B:B, "", 0))</f>
        <v/>
      </c>
      <c r="I1075">
        <f t="shared" si="48"/>
        <v>0</v>
      </c>
      <c r="M1075" s="9"/>
      <c r="N1075" s="18"/>
      <c r="P1075" s="9"/>
    </row>
    <row r="1076" spans="4:16" x14ac:dyDescent="0.25">
      <c r="D1076" t="str">
        <f>IF(_xlfn.XLOOKUP(C1076, ABZ!A:A, ABZ!B:B, "", 0) = 0, "", _xlfn.XLOOKUP(C1076, ABZ!A:A, ABZ!B:B, "", 0))</f>
        <v/>
      </c>
      <c r="I1076">
        <f t="shared" si="48"/>
        <v>0</v>
      </c>
      <c r="M1076" s="9"/>
      <c r="N1076" s="18"/>
      <c r="P1076" s="9"/>
    </row>
    <row r="1077" spans="4:16" x14ac:dyDescent="0.25">
      <c r="D1077" t="str">
        <f>IF(_xlfn.XLOOKUP(C1077, ABZ!A:A, ABZ!B:B, "", 0) = 0, "", _xlfn.XLOOKUP(C1077, ABZ!A:A, ABZ!B:B, "", 0))</f>
        <v/>
      </c>
      <c r="I1077">
        <f t="shared" si="48"/>
        <v>0</v>
      </c>
      <c r="M1077" s="9"/>
      <c r="N1077" s="18"/>
      <c r="P1077" s="9"/>
    </row>
    <row r="1078" spans="4:16" x14ac:dyDescent="0.25">
      <c r="D1078" t="str">
        <f>IF(_xlfn.XLOOKUP(C1078, ABZ!A:A, ABZ!B:B, "", 0) = 0, "", _xlfn.XLOOKUP(C1078, ABZ!A:A, ABZ!B:B, "", 0))</f>
        <v/>
      </c>
      <c r="I1078">
        <f t="shared" si="48"/>
        <v>0</v>
      </c>
      <c r="M1078" s="9"/>
      <c r="N1078" s="18"/>
      <c r="P1078" s="9"/>
    </row>
    <row r="1079" spans="4:16" x14ac:dyDescent="0.25">
      <c r="D1079" t="str">
        <f>IF(_xlfn.XLOOKUP(C1079, ABZ!A:A, ABZ!B:B, "", 0) = 0, "", _xlfn.XLOOKUP(C1079, ABZ!A:A, ABZ!B:B, "", 0))</f>
        <v/>
      </c>
      <c r="I1079">
        <f t="shared" si="48"/>
        <v>0</v>
      </c>
      <c r="M1079" s="9"/>
      <c r="N1079" s="18"/>
      <c r="P1079" s="9"/>
    </row>
    <row r="1080" spans="4:16" x14ac:dyDescent="0.25">
      <c r="D1080" t="str">
        <f>IF(_xlfn.XLOOKUP(C1080, ABZ!A:A, ABZ!B:B, "", 0) = 0, "", _xlfn.XLOOKUP(C1080, ABZ!A:A, ABZ!B:B, "", 0))</f>
        <v/>
      </c>
      <c r="I1080">
        <f t="shared" si="48"/>
        <v>0</v>
      </c>
      <c r="M1080" s="9"/>
      <c r="N1080" s="18"/>
      <c r="P1080" s="9"/>
    </row>
    <row r="1081" spans="4:16" x14ac:dyDescent="0.25">
      <c r="D1081" t="str">
        <f>IF(_xlfn.XLOOKUP(C1081, ABZ!A:A, ABZ!B:B, "", 0) = 0, "", _xlfn.XLOOKUP(C1081, ABZ!A:A, ABZ!B:B, "", 0))</f>
        <v/>
      </c>
      <c r="I1081">
        <f t="shared" si="48"/>
        <v>0</v>
      </c>
      <c r="M1081" s="9"/>
      <c r="N1081" s="18"/>
      <c r="P1081" s="9"/>
    </row>
    <row r="1082" spans="4:16" x14ac:dyDescent="0.25">
      <c r="D1082" t="str">
        <f>IF(_xlfn.XLOOKUP(C1082, ABZ!A:A, ABZ!B:B, "", 0) = 0, "", _xlfn.XLOOKUP(C1082, ABZ!A:A, ABZ!B:B, "", 0))</f>
        <v/>
      </c>
      <c r="I1082">
        <f t="shared" si="48"/>
        <v>0</v>
      </c>
      <c r="M1082" s="9"/>
      <c r="N1082" s="18"/>
      <c r="P1082" s="9"/>
    </row>
    <row r="1083" spans="4:16" x14ac:dyDescent="0.25">
      <c r="D1083" t="str">
        <f>IF(_xlfn.XLOOKUP(C1083, ABZ!A:A, ABZ!B:B, "", 0) = 0, "", _xlfn.XLOOKUP(C1083, ABZ!A:A, ABZ!B:B, "", 0))</f>
        <v/>
      </c>
      <c r="I1083">
        <f t="shared" si="48"/>
        <v>0</v>
      </c>
      <c r="M1083" s="9"/>
      <c r="N1083" s="18"/>
      <c r="P1083" s="9"/>
    </row>
    <row r="1084" spans="4:16" x14ac:dyDescent="0.25">
      <c r="D1084" t="str">
        <f>IF(_xlfn.XLOOKUP(C1084, ABZ!A:A, ABZ!B:B, "", 0) = 0, "", _xlfn.XLOOKUP(C1084, ABZ!A:A, ABZ!B:B, "", 0))</f>
        <v/>
      </c>
      <c r="I1084">
        <f t="shared" si="48"/>
        <v>0</v>
      </c>
      <c r="M1084" s="9"/>
      <c r="N1084" s="18"/>
      <c r="P1084" s="9"/>
    </row>
    <row r="1085" spans="4:16" x14ac:dyDescent="0.25">
      <c r="D1085" t="str">
        <f>IF(_xlfn.XLOOKUP(C1085, ABZ!A:A, ABZ!B:B, "", 0) = 0, "", _xlfn.XLOOKUP(C1085, ABZ!A:A, ABZ!B:B, "", 0))</f>
        <v/>
      </c>
      <c r="I1085">
        <f t="shared" si="48"/>
        <v>0</v>
      </c>
      <c r="M1085" s="9"/>
      <c r="N1085" s="18"/>
      <c r="P1085" s="9"/>
    </row>
    <row r="1086" spans="4:16" x14ac:dyDescent="0.25">
      <c r="D1086" t="str">
        <f>IF(_xlfn.XLOOKUP(C1086, ABZ!A:A, ABZ!B:B, "", 0) = 0, "", _xlfn.XLOOKUP(C1086, ABZ!A:A, ABZ!B:B, "", 0))</f>
        <v/>
      </c>
      <c r="I1086">
        <f t="shared" si="48"/>
        <v>0</v>
      </c>
      <c r="M1086" s="9"/>
      <c r="N1086" s="18"/>
      <c r="P1086" s="9"/>
    </row>
    <row r="1087" spans="4:16" x14ac:dyDescent="0.25">
      <c r="D1087" t="str">
        <f>IF(_xlfn.XLOOKUP(C1087, ABZ!A:A, ABZ!B:B, "", 0) = 0, "", _xlfn.XLOOKUP(C1087, ABZ!A:A, ABZ!B:B, "", 0))</f>
        <v/>
      </c>
      <c r="I1087">
        <f t="shared" si="48"/>
        <v>0</v>
      </c>
      <c r="M1087" s="9"/>
      <c r="N1087" s="18"/>
      <c r="P1087" s="9"/>
    </row>
    <row r="1088" spans="4:16" x14ac:dyDescent="0.25">
      <c r="D1088" t="str">
        <f>IF(_xlfn.XLOOKUP(C1088, ABZ!A:A, ABZ!B:B, "", 0) = 0, "", _xlfn.XLOOKUP(C1088, ABZ!A:A, ABZ!B:B, "", 0))</f>
        <v/>
      </c>
      <c r="I1088">
        <f t="shared" si="48"/>
        <v>0</v>
      </c>
      <c r="M1088" s="9"/>
      <c r="N1088" s="18"/>
      <c r="P1088" s="9"/>
    </row>
    <row r="1089" spans="4:16" x14ac:dyDescent="0.25">
      <c r="D1089" t="str">
        <f>IF(_xlfn.XLOOKUP(C1089, ABZ!A:A, ABZ!B:B, "", 0) = 0, "", _xlfn.XLOOKUP(C1089, ABZ!A:A, ABZ!B:B, "", 0))</f>
        <v/>
      </c>
      <c r="I1089">
        <f t="shared" si="48"/>
        <v>0</v>
      </c>
      <c r="M1089" s="9"/>
      <c r="N1089" s="18"/>
      <c r="P1089" s="9"/>
    </row>
    <row r="1090" spans="4:16" x14ac:dyDescent="0.25">
      <c r="D1090" t="str">
        <f>IF(_xlfn.XLOOKUP(C1090, ABZ!A:A, ABZ!B:B, "", 0) = 0, "", _xlfn.XLOOKUP(C1090, ABZ!A:A, ABZ!B:B, "", 0))</f>
        <v/>
      </c>
      <c r="I1090">
        <f t="shared" si="48"/>
        <v>0</v>
      </c>
      <c r="M1090" s="9"/>
      <c r="N1090" s="18"/>
      <c r="P1090" s="9"/>
    </row>
    <row r="1091" spans="4:16" x14ac:dyDescent="0.25">
      <c r="D1091" t="str">
        <f>IF(_xlfn.XLOOKUP(C1091, ABZ!A:A, ABZ!B:B, "", 0) = 0, "", _xlfn.XLOOKUP(C1091, ABZ!A:A, ABZ!B:B, "", 0))</f>
        <v/>
      </c>
      <c r="I1091">
        <f t="shared" ref="I1091:I1148" si="49">IF(AND(O1091&lt;&gt;"",L1091&lt;&gt;""),IF((O1091-L1091)&lt;=2,1,0),0)</f>
        <v>0</v>
      </c>
      <c r="M1091" s="9"/>
      <c r="N1091" s="18"/>
      <c r="P1091" s="9"/>
    </row>
    <row r="1092" spans="4:16" x14ac:dyDescent="0.25">
      <c r="D1092" t="str">
        <f>IF(_xlfn.XLOOKUP(C1092, ABZ!A:A, ABZ!B:B, "", 0) = 0, "", _xlfn.XLOOKUP(C1092, ABZ!A:A, ABZ!B:B, "", 0))</f>
        <v/>
      </c>
      <c r="I1092">
        <f t="shared" si="49"/>
        <v>0</v>
      </c>
      <c r="M1092" s="9"/>
      <c r="N1092" s="18"/>
      <c r="P1092" s="9"/>
    </row>
    <row r="1093" spans="4:16" x14ac:dyDescent="0.25">
      <c r="D1093" t="str">
        <f>IF(_xlfn.XLOOKUP(C1093, ABZ!A:A, ABZ!B:B, "", 0) = 0, "", _xlfn.XLOOKUP(C1093, ABZ!A:A, ABZ!B:B, "", 0))</f>
        <v/>
      </c>
      <c r="I1093">
        <f t="shared" si="49"/>
        <v>0</v>
      </c>
      <c r="M1093" s="9"/>
      <c r="N1093" s="18"/>
      <c r="P1093" s="9"/>
    </row>
    <row r="1094" spans="4:16" x14ac:dyDescent="0.25">
      <c r="D1094" t="str">
        <f>IF(_xlfn.XLOOKUP(C1094, ABZ!A:A, ABZ!B:B, "", 0) = 0, "", _xlfn.XLOOKUP(C1094, ABZ!A:A, ABZ!B:B, "", 0))</f>
        <v/>
      </c>
      <c r="I1094">
        <f t="shared" si="49"/>
        <v>0</v>
      </c>
      <c r="M1094" s="9"/>
      <c r="N1094" s="18"/>
      <c r="P1094" s="9"/>
    </row>
    <row r="1095" spans="4:16" x14ac:dyDescent="0.25">
      <c r="D1095" t="str">
        <f>IF(_xlfn.XLOOKUP(C1095, ABZ!A:A, ABZ!B:B, "", 0) = 0, "", _xlfn.XLOOKUP(C1095, ABZ!A:A, ABZ!B:B, "", 0))</f>
        <v/>
      </c>
      <c r="I1095">
        <f t="shared" si="49"/>
        <v>0</v>
      </c>
      <c r="M1095" s="9"/>
      <c r="N1095" s="18"/>
      <c r="P1095" s="9"/>
    </row>
    <row r="1096" spans="4:16" x14ac:dyDescent="0.25">
      <c r="D1096" t="str">
        <f>IF(_xlfn.XLOOKUP(C1096, ABZ!A:A, ABZ!B:B, "", 0) = 0, "", _xlfn.XLOOKUP(C1096, ABZ!A:A, ABZ!B:B, "", 0))</f>
        <v/>
      </c>
      <c r="I1096">
        <f t="shared" si="49"/>
        <v>0</v>
      </c>
      <c r="M1096" s="9"/>
      <c r="N1096" s="18"/>
      <c r="P1096" s="9"/>
    </row>
    <row r="1097" spans="4:16" x14ac:dyDescent="0.25">
      <c r="D1097" t="str">
        <f>IF(_xlfn.XLOOKUP(C1097, ABZ!A:A, ABZ!B:B, "", 0) = 0, "", _xlfn.XLOOKUP(C1097, ABZ!A:A, ABZ!B:B, "", 0))</f>
        <v/>
      </c>
      <c r="I1097">
        <f t="shared" si="49"/>
        <v>0</v>
      </c>
      <c r="M1097" s="9"/>
      <c r="N1097" s="18"/>
      <c r="P1097" s="9"/>
    </row>
    <row r="1098" spans="4:16" x14ac:dyDescent="0.25">
      <c r="D1098" t="str">
        <f>IF(_xlfn.XLOOKUP(C1098, ABZ!A:A, ABZ!B:B, "", 0) = 0, "", _xlfn.XLOOKUP(C1098, ABZ!A:A, ABZ!B:B, "", 0))</f>
        <v/>
      </c>
      <c r="I1098">
        <f t="shared" si="49"/>
        <v>0</v>
      </c>
      <c r="M1098" s="9"/>
      <c r="N1098" s="18"/>
      <c r="P1098" s="9"/>
    </row>
    <row r="1099" spans="4:16" x14ac:dyDescent="0.25">
      <c r="D1099" t="str">
        <f>IF(_xlfn.XLOOKUP(C1099, ABZ!A:A, ABZ!B:B, "", 0) = 0, "", _xlfn.XLOOKUP(C1099, ABZ!A:A, ABZ!B:B, "", 0))</f>
        <v/>
      </c>
      <c r="I1099">
        <f t="shared" si="49"/>
        <v>0</v>
      </c>
      <c r="M1099" s="9"/>
      <c r="N1099" s="18"/>
      <c r="P1099" s="9"/>
    </row>
    <row r="1100" spans="4:16" x14ac:dyDescent="0.25">
      <c r="D1100" t="str">
        <f>IF(_xlfn.XLOOKUP(C1100, ABZ!A:A, ABZ!B:B, "", 0) = 0, "", _xlfn.XLOOKUP(C1100, ABZ!A:A, ABZ!B:B, "", 0))</f>
        <v/>
      </c>
      <c r="I1100">
        <f t="shared" si="49"/>
        <v>0</v>
      </c>
      <c r="M1100" s="9"/>
      <c r="N1100" s="18"/>
      <c r="P1100" s="9"/>
    </row>
    <row r="1101" spans="4:16" x14ac:dyDescent="0.25">
      <c r="D1101" t="str">
        <f>IF(_xlfn.XLOOKUP(C1101, ABZ!A:A, ABZ!B:B, "", 0) = 0, "", _xlfn.XLOOKUP(C1101, ABZ!A:A, ABZ!B:B, "", 0))</f>
        <v/>
      </c>
      <c r="I1101">
        <f t="shared" si="49"/>
        <v>0</v>
      </c>
      <c r="M1101" s="9"/>
      <c r="N1101" s="18"/>
      <c r="P1101" s="9"/>
    </row>
    <row r="1102" spans="4:16" x14ac:dyDescent="0.25">
      <c r="D1102" t="str">
        <f>IF(_xlfn.XLOOKUP(C1102, ABZ!A:A, ABZ!B:B, "", 0) = 0, "", _xlfn.XLOOKUP(C1102, ABZ!A:A, ABZ!B:B, "", 0))</f>
        <v/>
      </c>
      <c r="I1102">
        <f t="shared" si="49"/>
        <v>0</v>
      </c>
      <c r="M1102" s="9"/>
      <c r="N1102" s="18"/>
      <c r="P1102" s="9"/>
    </row>
    <row r="1103" spans="4:16" x14ac:dyDescent="0.25">
      <c r="D1103" t="str">
        <f>IF(_xlfn.XLOOKUP(C1103, ABZ!A:A, ABZ!B:B, "", 0) = 0, "", _xlfn.XLOOKUP(C1103, ABZ!A:A, ABZ!B:B, "", 0))</f>
        <v/>
      </c>
      <c r="I1103">
        <f t="shared" si="49"/>
        <v>0</v>
      </c>
      <c r="M1103" s="9"/>
      <c r="N1103" s="18"/>
      <c r="P1103" s="9"/>
    </row>
    <row r="1104" spans="4:16" x14ac:dyDescent="0.25">
      <c r="D1104" t="str">
        <f>IF(_xlfn.XLOOKUP(C1104, ABZ!A:A, ABZ!B:B, "", 0) = 0, "", _xlfn.XLOOKUP(C1104, ABZ!A:A, ABZ!B:B, "", 0))</f>
        <v/>
      </c>
      <c r="I1104">
        <f t="shared" si="49"/>
        <v>0</v>
      </c>
      <c r="M1104" s="9"/>
      <c r="N1104" s="18"/>
      <c r="P1104" s="9"/>
    </row>
    <row r="1105" spans="4:16" x14ac:dyDescent="0.25">
      <c r="D1105" t="str">
        <f>IF(_xlfn.XLOOKUP(C1105, ABZ!A:A, ABZ!B:B, "", 0) = 0, "", _xlfn.XLOOKUP(C1105, ABZ!A:A, ABZ!B:B, "", 0))</f>
        <v/>
      </c>
      <c r="I1105">
        <f t="shared" si="49"/>
        <v>0</v>
      </c>
      <c r="M1105" s="9"/>
      <c r="N1105" s="18"/>
      <c r="P1105" s="9"/>
    </row>
    <row r="1106" spans="4:16" x14ac:dyDescent="0.25">
      <c r="D1106" t="str">
        <f>IF(_xlfn.XLOOKUP(C1106, ABZ!A:A, ABZ!B:B, "", 0) = 0, "", _xlfn.XLOOKUP(C1106, ABZ!A:A, ABZ!B:B, "", 0))</f>
        <v/>
      </c>
      <c r="I1106">
        <f t="shared" si="49"/>
        <v>0</v>
      </c>
      <c r="M1106" s="9"/>
      <c r="N1106" s="18"/>
      <c r="P1106" s="9"/>
    </row>
    <row r="1107" spans="4:16" x14ac:dyDescent="0.25">
      <c r="D1107" t="str">
        <f>IF(_xlfn.XLOOKUP(C1107, ABZ!A:A, ABZ!B:B, "", 0) = 0, "", _xlfn.XLOOKUP(C1107, ABZ!A:A, ABZ!B:B, "", 0))</f>
        <v/>
      </c>
      <c r="I1107">
        <f t="shared" si="49"/>
        <v>0</v>
      </c>
      <c r="M1107" s="9"/>
      <c r="N1107" s="18"/>
      <c r="P1107" s="9"/>
    </row>
    <row r="1108" spans="4:16" x14ac:dyDescent="0.25">
      <c r="D1108" t="str">
        <f>IF(_xlfn.XLOOKUP(C1108, ABZ!A:A, ABZ!B:B, "", 0) = 0, "", _xlfn.XLOOKUP(C1108, ABZ!A:A, ABZ!B:B, "", 0))</f>
        <v/>
      </c>
      <c r="I1108">
        <f t="shared" si="49"/>
        <v>0</v>
      </c>
      <c r="M1108" s="9"/>
      <c r="N1108" s="18"/>
      <c r="P1108" s="9"/>
    </row>
    <row r="1109" spans="4:16" x14ac:dyDescent="0.25">
      <c r="D1109" t="str">
        <f>IF(_xlfn.XLOOKUP(C1109, ABZ!A:A, ABZ!B:B, "", 0) = 0, "", _xlfn.XLOOKUP(C1109, ABZ!A:A, ABZ!B:B, "", 0))</f>
        <v/>
      </c>
      <c r="I1109">
        <f t="shared" si="49"/>
        <v>0</v>
      </c>
      <c r="M1109" s="9"/>
      <c r="N1109" s="18"/>
      <c r="P1109" s="9"/>
    </row>
    <row r="1110" spans="4:16" x14ac:dyDescent="0.25">
      <c r="D1110" t="str">
        <f>IF(_xlfn.XLOOKUP(C1110, ABZ!A:A, ABZ!B:B, "", 0) = 0, "", _xlfn.XLOOKUP(C1110, ABZ!A:A, ABZ!B:B, "", 0))</f>
        <v/>
      </c>
      <c r="I1110">
        <f t="shared" si="49"/>
        <v>0</v>
      </c>
      <c r="M1110" s="9"/>
      <c r="N1110" s="18"/>
      <c r="P1110" s="9"/>
    </row>
    <row r="1111" spans="4:16" x14ac:dyDescent="0.25">
      <c r="D1111" t="str">
        <f>IF(_xlfn.XLOOKUP(C1111, ABZ!A:A, ABZ!B:B, "", 0) = 0, "", _xlfn.XLOOKUP(C1111, ABZ!A:A, ABZ!B:B, "", 0))</f>
        <v/>
      </c>
      <c r="I1111">
        <f t="shared" si="49"/>
        <v>0</v>
      </c>
      <c r="M1111" s="9"/>
      <c r="N1111" s="18"/>
      <c r="P1111" s="9"/>
    </row>
    <row r="1112" spans="4:16" x14ac:dyDescent="0.25">
      <c r="D1112" t="str">
        <f>IF(_xlfn.XLOOKUP(C1112, ABZ!A:A, ABZ!B:B, "", 0) = 0, "", _xlfn.XLOOKUP(C1112, ABZ!A:A, ABZ!B:B, "", 0))</f>
        <v/>
      </c>
      <c r="I1112">
        <f t="shared" si="49"/>
        <v>0</v>
      </c>
      <c r="M1112" s="9"/>
      <c r="N1112" s="18"/>
      <c r="P1112" s="9"/>
    </row>
    <row r="1113" spans="4:16" x14ac:dyDescent="0.25">
      <c r="D1113" t="str">
        <f>IF(_xlfn.XLOOKUP(C1113, ABZ!A:A, ABZ!B:B, "", 0) = 0, "", _xlfn.XLOOKUP(C1113, ABZ!A:A, ABZ!B:B, "", 0))</f>
        <v/>
      </c>
      <c r="I1113">
        <f t="shared" si="49"/>
        <v>0</v>
      </c>
      <c r="M1113" s="9"/>
      <c r="N1113" s="18"/>
      <c r="P1113" s="9"/>
    </row>
    <row r="1114" spans="4:16" x14ac:dyDescent="0.25">
      <c r="D1114" t="str">
        <f>IF(_xlfn.XLOOKUP(C1114, ABZ!A:A, ABZ!B:B, "", 0) = 0, "", _xlfn.XLOOKUP(C1114, ABZ!A:A, ABZ!B:B, "", 0))</f>
        <v/>
      </c>
      <c r="I1114">
        <f t="shared" si="49"/>
        <v>0</v>
      </c>
      <c r="M1114" s="9"/>
      <c r="N1114" s="18"/>
      <c r="P1114" s="9"/>
    </row>
    <row r="1115" spans="4:16" x14ac:dyDescent="0.25">
      <c r="D1115" t="str">
        <f>IF(_xlfn.XLOOKUP(C1115, ABZ!A:A, ABZ!B:B, "", 0) = 0, "", _xlfn.XLOOKUP(C1115, ABZ!A:A, ABZ!B:B, "", 0))</f>
        <v/>
      </c>
      <c r="I1115">
        <f t="shared" si="49"/>
        <v>0</v>
      </c>
      <c r="M1115" s="9"/>
      <c r="N1115" s="18"/>
      <c r="P1115" s="9"/>
    </row>
    <row r="1116" spans="4:16" x14ac:dyDescent="0.25">
      <c r="D1116" t="str">
        <f>IF(_xlfn.XLOOKUP(C1116, ABZ!A:A, ABZ!B:B, "", 0) = 0, "", _xlfn.XLOOKUP(C1116, ABZ!A:A, ABZ!B:B, "", 0))</f>
        <v/>
      </c>
      <c r="I1116">
        <f t="shared" si="49"/>
        <v>0</v>
      </c>
      <c r="M1116" s="9"/>
      <c r="N1116" s="18"/>
      <c r="P1116" s="9"/>
    </row>
    <row r="1117" spans="4:16" x14ac:dyDescent="0.25">
      <c r="D1117" t="str">
        <f>IF(_xlfn.XLOOKUP(C1117, ABZ!A:A, ABZ!B:B, "", 0) = 0, "", _xlfn.XLOOKUP(C1117, ABZ!A:A, ABZ!B:B, "", 0))</f>
        <v/>
      </c>
      <c r="I1117">
        <f t="shared" si="49"/>
        <v>0</v>
      </c>
      <c r="M1117" s="9"/>
      <c r="N1117" s="18"/>
      <c r="P1117" s="9"/>
    </row>
    <row r="1118" spans="4:16" x14ac:dyDescent="0.25">
      <c r="D1118" t="str">
        <f>IF(_xlfn.XLOOKUP(C1118, ABZ!A:A, ABZ!B:B, "", 0) = 0, "", _xlfn.XLOOKUP(C1118, ABZ!A:A, ABZ!B:B, "", 0))</f>
        <v/>
      </c>
      <c r="I1118">
        <f t="shared" si="49"/>
        <v>0</v>
      </c>
      <c r="M1118" s="9"/>
      <c r="N1118" s="18"/>
      <c r="P1118" s="9"/>
    </row>
    <row r="1119" spans="4:16" x14ac:dyDescent="0.25">
      <c r="D1119" t="str">
        <f>IF(_xlfn.XLOOKUP(C1119, ABZ!A:A, ABZ!B:B, "", 0) = 0, "", _xlfn.XLOOKUP(C1119, ABZ!A:A, ABZ!B:B, "", 0))</f>
        <v/>
      </c>
      <c r="I1119">
        <f t="shared" si="49"/>
        <v>0</v>
      </c>
      <c r="M1119" s="9"/>
      <c r="N1119" s="18"/>
      <c r="P1119" s="9"/>
    </row>
    <row r="1120" spans="4:16" x14ac:dyDescent="0.25">
      <c r="D1120" t="str">
        <f>IF(_xlfn.XLOOKUP(C1120, ABZ!A:A, ABZ!B:B, "", 0) = 0, "", _xlfn.XLOOKUP(C1120, ABZ!A:A, ABZ!B:B, "", 0))</f>
        <v/>
      </c>
      <c r="I1120">
        <f t="shared" si="49"/>
        <v>0</v>
      </c>
      <c r="M1120" s="9"/>
      <c r="N1120" s="18"/>
      <c r="P1120" s="9"/>
    </row>
    <row r="1121" spans="4:16" x14ac:dyDescent="0.25">
      <c r="D1121" t="str">
        <f>IF(_xlfn.XLOOKUP(C1121, ABZ!A:A, ABZ!B:B, "", 0) = 0, "", _xlfn.XLOOKUP(C1121, ABZ!A:A, ABZ!B:B, "", 0))</f>
        <v/>
      </c>
      <c r="I1121">
        <f t="shared" si="49"/>
        <v>0</v>
      </c>
      <c r="M1121" s="9"/>
      <c r="N1121" s="18"/>
      <c r="P1121" s="9"/>
    </row>
    <row r="1122" spans="4:16" x14ac:dyDescent="0.25">
      <c r="D1122" t="str">
        <f>IF(_xlfn.XLOOKUP(C1122, ABZ!A:A, ABZ!B:B, "", 0) = 0, "", _xlfn.XLOOKUP(C1122, ABZ!A:A, ABZ!B:B, "", 0))</f>
        <v/>
      </c>
      <c r="I1122">
        <f t="shared" si="49"/>
        <v>0</v>
      </c>
      <c r="M1122" s="9"/>
      <c r="N1122" s="18"/>
      <c r="P1122" s="9"/>
    </row>
    <row r="1123" spans="4:16" x14ac:dyDescent="0.25">
      <c r="D1123" t="str">
        <f>IF(_xlfn.XLOOKUP(C1123, ABZ!A:A, ABZ!B:B, "", 0) = 0, "", _xlfn.XLOOKUP(C1123, ABZ!A:A, ABZ!B:B, "", 0))</f>
        <v/>
      </c>
      <c r="I1123">
        <f t="shared" si="49"/>
        <v>0</v>
      </c>
      <c r="M1123" s="9"/>
      <c r="N1123" s="18"/>
      <c r="P1123" s="9"/>
    </row>
    <row r="1124" spans="4:16" x14ac:dyDescent="0.25">
      <c r="D1124" t="str">
        <f>IF(_xlfn.XLOOKUP(C1124, ABZ!A:A, ABZ!B:B, "", 0) = 0, "", _xlfn.XLOOKUP(C1124, ABZ!A:A, ABZ!B:B, "", 0))</f>
        <v/>
      </c>
      <c r="I1124">
        <f t="shared" si="49"/>
        <v>0</v>
      </c>
      <c r="M1124" s="9"/>
      <c r="N1124" s="18"/>
      <c r="P1124" s="9"/>
    </row>
    <row r="1125" spans="4:16" x14ac:dyDescent="0.25">
      <c r="D1125" t="str">
        <f>IF(_xlfn.XLOOKUP(C1125, ABZ!A:A, ABZ!B:B, "", 0) = 0, "", _xlfn.XLOOKUP(C1125, ABZ!A:A, ABZ!B:B, "", 0))</f>
        <v/>
      </c>
      <c r="I1125">
        <f t="shared" si="49"/>
        <v>0</v>
      </c>
      <c r="M1125" s="9"/>
      <c r="N1125" s="18"/>
      <c r="P1125" s="9"/>
    </row>
    <row r="1126" spans="4:16" x14ac:dyDescent="0.25">
      <c r="D1126" t="str">
        <f>IF(_xlfn.XLOOKUP(C1126, ABZ!A:A, ABZ!B:B, "", 0) = 0, "", _xlfn.XLOOKUP(C1126, ABZ!A:A, ABZ!B:B, "", 0))</f>
        <v/>
      </c>
      <c r="I1126">
        <f t="shared" si="49"/>
        <v>0</v>
      </c>
      <c r="M1126" s="9"/>
      <c r="N1126" s="18"/>
      <c r="P1126" s="9"/>
    </row>
    <row r="1127" spans="4:16" x14ac:dyDescent="0.25">
      <c r="D1127" t="str">
        <f>IF(_xlfn.XLOOKUP(C1127, ABZ!A:A, ABZ!B:B, "", 0) = 0, "", _xlfn.XLOOKUP(C1127, ABZ!A:A, ABZ!B:B, "", 0))</f>
        <v/>
      </c>
      <c r="I1127">
        <f t="shared" si="49"/>
        <v>0</v>
      </c>
      <c r="M1127" s="9"/>
      <c r="N1127" s="18"/>
      <c r="P1127" s="9"/>
    </row>
    <row r="1128" spans="4:16" x14ac:dyDescent="0.25">
      <c r="D1128" t="str">
        <f>IF(_xlfn.XLOOKUP(C1128, ABZ!A:A, ABZ!B:B, "", 0) = 0, "", _xlfn.XLOOKUP(C1128, ABZ!A:A, ABZ!B:B, "", 0))</f>
        <v/>
      </c>
      <c r="I1128">
        <f t="shared" si="49"/>
        <v>0</v>
      </c>
      <c r="M1128" s="9"/>
      <c r="N1128" s="18"/>
      <c r="P1128" s="9"/>
    </row>
    <row r="1129" spans="4:16" x14ac:dyDescent="0.25">
      <c r="D1129" t="str">
        <f>IF(_xlfn.XLOOKUP(C1129, ABZ!A:A, ABZ!B:B, "", 0) = 0, "", _xlfn.XLOOKUP(C1129, ABZ!A:A, ABZ!B:B, "", 0))</f>
        <v/>
      </c>
      <c r="I1129">
        <f t="shared" si="49"/>
        <v>0</v>
      </c>
      <c r="M1129" s="9"/>
      <c r="N1129" s="18"/>
      <c r="P1129" s="9"/>
    </row>
    <row r="1130" spans="4:16" x14ac:dyDescent="0.25">
      <c r="D1130" t="str">
        <f>IF(_xlfn.XLOOKUP(C1130, ABZ!A:A, ABZ!B:B, "", 0) = 0, "", _xlfn.XLOOKUP(C1130, ABZ!A:A, ABZ!B:B, "", 0))</f>
        <v/>
      </c>
      <c r="I1130">
        <f t="shared" si="49"/>
        <v>0</v>
      </c>
      <c r="M1130" s="9"/>
      <c r="N1130" s="18"/>
      <c r="P1130" s="9"/>
    </row>
    <row r="1131" spans="4:16" x14ac:dyDescent="0.25">
      <c r="D1131" t="str">
        <f>IF(_xlfn.XLOOKUP(C1131, ABZ!A:A, ABZ!B:B, "", 0) = 0, "", _xlfn.XLOOKUP(C1131, ABZ!A:A, ABZ!B:B, "", 0))</f>
        <v/>
      </c>
      <c r="I1131">
        <f t="shared" si="49"/>
        <v>0</v>
      </c>
      <c r="M1131" s="9"/>
      <c r="N1131" s="18"/>
      <c r="P1131" s="9"/>
    </row>
    <row r="1132" spans="4:16" x14ac:dyDescent="0.25">
      <c r="D1132" t="str">
        <f>IF(_xlfn.XLOOKUP(C1132, ABZ!A:A, ABZ!B:B, "", 0) = 0, "", _xlfn.XLOOKUP(C1132, ABZ!A:A, ABZ!B:B, "", 0))</f>
        <v/>
      </c>
      <c r="I1132">
        <f t="shared" si="49"/>
        <v>0</v>
      </c>
      <c r="M1132" s="9"/>
      <c r="N1132" s="18"/>
      <c r="P1132" s="9"/>
    </row>
    <row r="1133" spans="4:16" x14ac:dyDescent="0.25">
      <c r="D1133" t="str">
        <f>IF(_xlfn.XLOOKUP(C1133, ABZ!A:A, ABZ!B:B, "", 0) = 0, "", _xlfn.XLOOKUP(C1133, ABZ!A:A, ABZ!B:B, "", 0))</f>
        <v/>
      </c>
      <c r="I1133">
        <f t="shared" si="49"/>
        <v>0</v>
      </c>
      <c r="M1133" s="9"/>
      <c r="N1133" s="18"/>
      <c r="P1133" s="9"/>
    </row>
    <row r="1134" spans="4:16" x14ac:dyDescent="0.25">
      <c r="D1134" t="str">
        <f>IF(_xlfn.XLOOKUP(C1134, ABZ!A:A, ABZ!B:B, "", 0) = 0, "", _xlfn.XLOOKUP(C1134, ABZ!A:A, ABZ!B:B, "", 0))</f>
        <v/>
      </c>
      <c r="I1134">
        <f t="shared" si="49"/>
        <v>0</v>
      </c>
      <c r="M1134" s="9"/>
      <c r="N1134" s="18"/>
      <c r="P1134" s="9"/>
    </row>
    <row r="1135" spans="4:16" x14ac:dyDescent="0.25">
      <c r="D1135" t="str">
        <f>IF(_xlfn.XLOOKUP(C1135, ABZ!A:A, ABZ!B:B, "", 0) = 0, "", _xlfn.XLOOKUP(C1135, ABZ!A:A, ABZ!B:B, "", 0))</f>
        <v/>
      </c>
      <c r="I1135">
        <f t="shared" si="49"/>
        <v>0</v>
      </c>
      <c r="M1135" s="9"/>
      <c r="N1135" s="18"/>
      <c r="P1135" s="9"/>
    </row>
    <row r="1136" spans="4:16" x14ac:dyDescent="0.25">
      <c r="D1136" t="str">
        <f>IF(_xlfn.XLOOKUP(C1136, ABZ!A:A, ABZ!B:B, "", 0) = 0, "", _xlfn.XLOOKUP(C1136, ABZ!A:A, ABZ!B:B, "", 0))</f>
        <v/>
      </c>
      <c r="I1136">
        <f t="shared" si="49"/>
        <v>0</v>
      </c>
      <c r="M1136" s="9"/>
      <c r="N1136" s="18"/>
      <c r="P1136" s="9"/>
    </row>
    <row r="1137" spans="4:16" x14ac:dyDescent="0.25">
      <c r="D1137" t="str">
        <f>IF(_xlfn.XLOOKUP(C1137, ABZ!A:A, ABZ!B:B, "", 0) = 0, "", _xlfn.XLOOKUP(C1137, ABZ!A:A, ABZ!B:B, "", 0))</f>
        <v/>
      </c>
      <c r="I1137">
        <f t="shared" si="49"/>
        <v>0</v>
      </c>
      <c r="M1137" s="9"/>
      <c r="N1137" s="18"/>
      <c r="P1137" s="9"/>
    </row>
    <row r="1138" spans="4:16" x14ac:dyDescent="0.25">
      <c r="D1138" t="str">
        <f>IF(_xlfn.XLOOKUP(C1138, ABZ!A:A, ABZ!B:B, "", 0) = 0, "", _xlfn.XLOOKUP(C1138, ABZ!A:A, ABZ!B:B, "", 0))</f>
        <v/>
      </c>
      <c r="I1138">
        <f t="shared" si="49"/>
        <v>0</v>
      </c>
      <c r="M1138" s="9"/>
      <c r="N1138" s="18"/>
      <c r="P1138" s="9"/>
    </row>
    <row r="1139" spans="4:16" x14ac:dyDescent="0.25">
      <c r="D1139" t="str">
        <f>IF(_xlfn.XLOOKUP(C1139, ABZ!A:A, ABZ!B:B, "", 0) = 0, "", _xlfn.XLOOKUP(C1139, ABZ!A:A, ABZ!B:B, "", 0))</f>
        <v/>
      </c>
      <c r="I1139">
        <f t="shared" si="49"/>
        <v>0</v>
      </c>
      <c r="M1139" s="9"/>
      <c r="N1139" s="18"/>
      <c r="P1139" s="9"/>
    </row>
    <row r="1140" spans="4:16" x14ac:dyDescent="0.25">
      <c r="D1140" t="str">
        <f>IF(_xlfn.XLOOKUP(C1140, ABZ!A:A, ABZ!B:B, "", 0) = 0, "", _xlfn.XLOOKUP(C1140, ABZ!A:A, ABZ!B:B, "", 0))</f>
        <v/>
      </c>
      <c r="I1140">
        <f t="shared" si="49"/>
        <v>0</v>
      </c>
      <c r="M1140" s="9"/>
      <c r="N1140" s="18"/>
      <c r="P1140" s="9"/>
    </row>
    <row r="1141" spans="4:16" x14ac:dyDescent="0.25">
      <c r="D1141" t="str">
        <f>IF(_xlfn.XLOOKUP(C1141, ABZ!A:A, ABZ!B:B, "", 0) = 0, "", _xlfn.XLOOKUP(C1141, ABZ!A:A, ABZ!B:B, "", 0))</f>
        <v/>
      </c>
      <c r="I1141">
        <f t="shared" si="49"/>
        <v>0</v>
      </c>
      <c r="M1141" s="9"/>
      <c r="N1141" s="18"/>
      <c r="P1141" s="9"/>
    </row>
    <row r="1142" spans="4:16" x14ac:dyDescent="0.25">
      <c r="D1142" t="str">
        <f>IF(_xlfn.XLOOKUP(C1142, ABZ!A:A, ABZ!B:B, "", 0) = 0, "", _xlfn.XLOOKUP(C1142, ABZ!A:A, ABZ!B:B, "", 0))</f>
        <v/>
      </c>
      <c r="I1142">
        <f t="shared" si="49"/>
        <v>0</v>
      </c>
      <c r="M1142" s="9"/>
      <c r="N1142" s="18"/>
      <c r="P1142" s="9"/>
    </row>
    <row r="1143" spans="4:16" x14ac:dyDescent="0.25">
      <c r="D1143" t="str">
        <f>IF(_xlfn.XLOOKUP(C1143, ABZ!A:A, ABZ!B:B, "", 0) = 0, "", _xlfn.XLOOKUP(C1143, ABZ!A:A, ABZ!B:B, "", 0))</f>
        <v/>
      </c>
      <c r="I1143">
        <f t="shared" si="49"/>
        <v>0</v>
      </c>
      <c r="M1143" s="9"/>
      <c r="N1143" s="18"/>
      <c r="P1143" s="9"/>
    </row>
    <row r="1144" spans="4:16" x14ac:dyDescent="0.25">
      <c r="D1144" t="str">
        <f>IF(_xlfn.XLOOKUP(C1144, ABZ!A:A, ABZ!B:B, "", 0) = 0, "", _xlfn.XLOOKUP(C1144, ABZ!A:A, ABZ!B:B, "", 0))</f>
        <v/>
      </c>
      <c r="I1144">
        <f t="shared" si="49"/>
        <v>0</v>
      </c>
      <c r="M1144" s="9"/>
      <c r="N1144" s="18"/>
      <c r="P1144" s="9"/>
    </row>
    <row r="1145" spans="4:16" x14ac:dyDescent="0.25">
      <c r="D1145" t="str">
        <f>IF(_xlfn.XLOOKUP(C1145, ABZ!A:A, ABZ!B:B, "", 0) = 0, "", _xlfn.XLOOKUP(C1145, ABZ!A:A, ABZ!B:B, "", 0))</f>
        <v/>
      </c>
      <c r="I1145">
        <f t="shared" si="49"/>
        <v>0</v>
      </c>
      <c r="M1145" s="9"/>
      <c r="N1145" s="18"/>
      <c r="P1145" s="9"/>
    </row>
    <row r="1146" spans="4:16" x14ac:dyDescent="0.25">
      <c r="D1146" t="str">
        <f>IF(_xlfn.XLOOKUP(C1146, ABZ!A:A, ABZ!B:B, "", 0) = 0, "", _xlfn.XLOOKUP(C1146, ABZ!A:A, ABZ!B:B, "", 0))</f>
        <v/>
      </c>
      <c r="I1146">
        <f t="shared" si="49"/>
        <v>0</v>
      </c>
      <c r="M1146" s="9"/>
      <c r="N1146" s="18"/>
      <c r="P1146" s="9"/>
    </row>
    <row r="1147" spans="4:16" x14ac:dyDescent="0.25">
      <c r="D1147" t="str">
        <f>IF(_xlfn.XLOOKUP(C1147, ABZ!A:A, ABZ!B:B, "", 0) = 0, "", _xlfn.XLOOKUP(C1147, ABZ!A:A, ABZ!B:B, "", 0))</f>
        <v/>
      </c>
      <c r="I1147">
        <f t="shared" si="49"/>
        <v>0</v>
      </c>
      <c r="M1147" s="9"/>
      <c r="N1147" s="18"/>
      <c r="P1147" s="9"/>
    </row>
    <row r="1148" spans="4:16" x14ac:dyDescent="0.25">
      <c r="D1148" t="str">
        <f>IF(_xlfn.XLOOKUP(C1148, ABZ!A:A, ABZ!B:B, "", 0) = 0, "", _xlfn.XLOOKUP(C1148, ABZ!A:A, ABZ!B:B, "", 0))</f>
        <v/>
      </c>
      <c r="I1148">
        <f t="shared" si="49"/>
        <v>0</v>
      </c>
      <c r="M1148" s="9"/>
      <c r="N1148" s="18"/>
      <c r="P1148" s="9"/>
    </row>
    <row r="1149" spans="4:16" x14ac:dyDescent="0.25">
      <c r="D1149" t="str">
        <f>IF(_xlfn.XLOOKUP(C1149, ABZ!A:A, ABZ!B:B, "", 0) = 0, "", _xlfn.XLOOKUP(C1149, ABZ!A:A, ABZ!B:B, "", 0))</f>
        <v/>
      </c>
      <c r="M1149" s="9"/>
      <c r="N1149" s="18"/>
      <c r="P1149" s="9"/>
    </row>
    <row r="1150" spans="4:16" x14ac:dyDescent="0.25">
      <c r="D1150" t="str">
        <f>IF(_xlfn.XLOOKUP(C1150, ABZ!A:A, ABZ!B:B, "", 0) = 0, "", _xlfn.XLOOKUP(C1150, ABZ!A:A, ABZ!B:B, "", 0))</f>
        <v/>
      </c>
      <c r="M1150" s="9"/>
      <c r="N1150" s="18"/>
      <c r="P1150" s="9"/>
    </row>
    <row r="1151" spans="4:16" x14ac:dyDescent="0.25">
      <c r="D1151" t="str">
        <f>IF(_xlfn.XLOOKUP(C1151, ABZ!A:A, ABZ!B:B, "", 0) = 0, "", _xlfn.XLOOKUP(C1151, ABZ!A:A, ABZ!B:B, "", 0))</f>
        <v/>
      </c>
      <c r="M1151" s="9"/>
      <c r="N1151" s="18"/>
      <c r="P1151" s="9"/>
    </row>
    <row r="1152" spans="4:16" x14ac:dyDescent="0.25">
      <c r="D1152" t="str">
        <f>IF(_xlfn.XLOOKUP(C1152, ABZ!A:A, ABZ!B:B, "", 0) = 0, "", _xlfn.XLOOKUP(C1152, ABZ!A:A, ABZ!B:B, "", 0))</f>
        <v/>
      </c>
      <c r="M1152" s="9"/>
      <c r="N1152" s="18"/>
      <c r="P1152" s="9"/>
    </row>
    <row r="1153" spans="4:16" x14ac:dyDescent="0.25">
      <c r="D1153" t="str">
        <f>IF(_xlfn.XLOOKUP(C1153, ABZ!A:A, ABZ!B:B, "", 0) = 0, "", _xlfn.XLOOKUP(C1153, ABZ!A:A, ABZ!B:B, "", 0))</f>
        <v/>
      </c>
      <c r="M1153" s="9"/>
      <c r="N1153" s="18"/>
      <c r="P1153" s="9"/>
    </row>
    <row r="1154" spans="4:16" x14ac:dyDescent="0.25">
      <c r="D1154" t="str">
        <f>IF(_xlfn.XLOOKUP(C1154, ABZ!A:A, ABZ!B:B, "", 0) = 0, "", _xlfn.XLOOKUP(C1154, ABZ!A:A, ABZ!B:B, "", 0))</f>
        <v/>
      </c>
      <c r="M1154" s="9"/>
      <c r="N1154" s="18"/>
      <c r="P1154" s="9"/>
    </row>
    <row r="1155" spans="4:16" x14ac:dyDescent="0.25">
      <c r="D1155" t="str">
        <f>IF(_xlfn.XLOOKUP(C1155, ABZ!A:A, ABZ!B:B, "", 0) = 0, "", _xlfn.XLOOKUP(C1155, ABZ!A:A, ABZ!B:B, "", 0))</f>
        <v/>
      </c>
      <c r="M1155" s="9"/>
      <c r="N1155" s="18"/>
      <c r="P1155" s="9"/>
    </row>
    <row r="1156" spans="4:16" x14ac:dyDescent="0.25">
      <c r="D1156" t="str">
        <f>IF(_xlfn.XLOOKUP(C1156, ABZ!A:A, ABZ!B:B, "", 0) = 0, "", _xlfn.XLOOKUP(C1156, ABZ!A:A, ABZ!B:B, "", 0))</f>
        <v/>
      </c>
      <c r="M1156" s="9"/>
      <c r="N1156" s="18"/>
      <c r="P1156" s="9"/>
    </row>
    <row r="1157" spans="4:16" x14ac:dyDescent="0.25">
      <c r="D1157" t="str">
        <f>IF(_xlfn.XLOOKUP(C1157, ABZ!A:A, ABZ!B:B, "", 0) = 0, "", _xlfn.XLOOKUP(C1157, ABZ!A:A, ABZ!B:B, "", 0))</f>
        <v/>
      </c>
      <c r="M1157" s="9"/>
      <c r="N1157" s="18"/>
      <c r="P1157" s="9"/>
    </row>
    <row r="1158" spans="4:16" x14ac:dyDescent="0.25">
      <c r="D1158" t="str">
        <f>IF(_xlfn.XLOOKUP(C1158, ABZ!A:A, ABZ!B:B, "", 0) = 0, "", _xlfn.XLOOKUP(C1158, ABZ!A:A, ABZ!B:B, "", 0))</f>
        <v/>
      </c>
      <c r="M1158" s="9"/>
      <c r="N1158" s="18"/>
      <c r="P1158" s="9"/>
    </row>
    <row r="1159" spans="4:16" x14ac:dyDescent="0.25">
      <c r="D1159" t="str">
        <f>IF(_xlfn.XLOOKUP(C1159, ABZ!A:A, ABZ!B:B, "", 0) = 0, "", _xlfn.XLOOKUP(C1159, ABZ!A:A, ABZ!B:B, "", 0))</f>
        <v/>
      </c>
      <c r="M1159" s="9"/>
      <c r="N1159" s="18"/>
      <c r="P1159" s="9"/>
    </row>
    <row r="1160" spans="4:16" x14ac:dyDescent="0.25">
      <c r="D1160" t="str">
        <f>IF(_xlfn.XLOOKUP(C1160, ABZ!A:A, ABZ!B:B, "", 0) = 0, "", _xlfn.XLOOKUP(C1160, ABZ!A:A, ABZ!B:B, "", 0))</f>
        <v/>
      </c>
      <c r="M1160" s="9"/>
      <c r="N1160" s="18"/>
      <c r="P1160" s="9"/>
    </row>
    <row r="1161" spans="4:16" x14ac:dyDescent="0.25">
      <c r="D1161" t="str">
        <f>IF(_xlfn.XLOOKUP(C1161, ABZ!A:A, ABZ!B:B, "", 0) = 0, "", _xlfn.XLOOKUP(C1161, ABZ!A:A, ABZ!B:B, "", 0))</f>
        <v/>
      </c>
      <c r="M1161" s="9"/>
      <c r="N1161" s="18"/>
      <c r="P1161" s="9"/>
    </row>
    <row r="1162" spans="4:16" x14ac:dyDescent="0.25">
      <c r="D1162" t="str">
        <f>IF(_xlfn.XLOOKUP(C1162, ABZ!A:A, ABZ!B:B, "", 0) = 0, "", _xlfn.XLOOKUP(C1162, ABZ!A:A, ABZ!B:B, "", 0))</f>
        <v/>
      </c>
      <c r="M1162" s="9"/>
      <c r="N1162" s="18"/>
      <c r="P1162" s="9"/>
    </row>
    <row r="1163" spans="4:16" x14ac:dyDescent="0.25">
      <c r="D1163" t="str">
        <f>IF(_xlfn.XLOOKUP(C1163, ABZ!A:A, ABZ!B:B, "", 0) = 0, "", _xlfn.XLOOKUP(C1163, ABZ!A:A, ABZ!B:B, "", 0))</f>
        <v/>
      </c>
      <c r="M1163" s="9"/>
      <c r="N1163" s="18"/>
      <c r="P1163" s="9"/>
    </row>
    <row r="1164" spans="4:16" x14ac:dyDescent="0.25">
      <c r="D1164" t="str">
        <f>IF(_xlfn.XLOOKUP(C1164, ABZ!A:A, ABZ!B:B, "", 0) = 0, "", _xlfn.XLOOKUP(C1164, ABZ!A:A, ABZ!B:B, "", 0))</f>
        <v/>
      </c>
      <c r="M1164" s="9"/>
      <c r="N1164" s="18"/>
      <c r="P1164" s="9"/>
    </row>
    <row r="1165" spans="4:16" x14ac:dyDescent="0.25">
      <c r="D1165" t="str">
        <f>IF(_xlfn.XLOOKUP(C1165, ABZ!A:A, ABZ!B:B, "", 0) = 0, "", _xlfn.XLOOKUP(C1165, ABZ!A:A, ABZ!B:B, "", 0))</f>
        <v/>
      </c>
      <c r="M1165" s="9"/>
      <c r="N1165" s="18"/>
      <c r="P1165" s="9"/>
    </row>
    <row r="1166" spans="4:16" x14ac:dyDescent="0.25">
      <c r="D1166" t="str">
        <f>IF(_xlfn.XLOOKUP(C1166, ABZ!A:A, ABZ!B:B, "", 0) = 0, "", _xlfn.XLOOKUP(C1166, ABZ!A:A, ABZ!B:B, "", 0))</f>
        <v/>
      </c>
      <c r="M1166" s="9"/>
      <c r="N1166" s="18"/>
      <c r="P1166" s="9"/>
    </row>
    <row r="1167" spans="4:16" x14ac:dyDescent="0.25">
      <c r="D1167" t="str">
        <f>IF(_xlfn.XLOOKUP(C1167, ABZ!A:A, ABZ!B:B, "", 0) = 0, "", _xlfn.XLOOKUP(C1167, ABZ!A:A, ABZ!B:B, "", 0))</f>
        <v/>
      </c>
      <c r="M1167" s="9"/>
      <c r="N1167" s="18"/>
      <c r="P1167" s="9"/>
    </row>
    <row r="1168" spans="4:16" x14ac:dyDescent="0.25">
      <c r="D1168" t="str">
        <f>IF(_xlfn.XLOOKUP(C1168, ABZ!A:A, ABZ!B:B, "", 0) = 0, "", _xlfn.XLOOKUP(C1168, ABZ!A:A, ABZ!B:B, "", 0))</f>
        <v/>
      </c>
      <c r="M1168" s="9"/>
      <c r="N1168" s="18"/>
      <c r="P1168" s="9"/>
    </row>
    <row r="1169" spans="2:21" x14ac:dyDescent="0.25">
      <c r="D1169" t="str">
        <f>IF(_xlfn.XLOOKUP(C1169, ABZ!A:A, ABZ!B:B, "", 0) = 0, "", _xlfn.XLOOKUP(C1169, ABZ!A:A, ABZ!B:B, "", 0))</f>
        <v/>
      </c>
      <c r="M1169" s="9"/>
      <c r="N1169" s="18"/>
      <c r="P1169" s="10"/>
    </row>
    <row r="1170" spans="2:21" x14ac:dyDescent="0.25">
      <c r="D1170" t="str">
        <f>IF(_xlfn.XLOOKUP(C1170, ABZ!A:A, ABZ!B:B, "", 0) = 0, "", _xlfn.XLOOKUP(C1170, ABZ!A:A, ABZ!B:B, "", 0))</f>
        <v/>
      </c>
      <c r="M1170" s="9"/>
      <c r="N1170" s="18"/>
      <c r="P1170" s="10"/>
    </row>
    <row r="1171" spans="2:21" x14ac:dyDescent="0.25">
      <c r="D1171" t="str">
        <f>IF(_xlfn.XLOOKUP(C1171, ABZ!A:A, ABZ!B:B, "", 0) = 0, "", _xlfn.XLOOKUP(C1171, ABZ!A:A, ABZ!B:B, "", 0))</f>
        <v/>
      </c>
      <c r="M1171" s="9"/>
      <c r="N1171" s="18"/>
      <c r="P1171" s="10"/>
    </row>
    <row r="1172" spans="2:21" x14ac:dyDescent="0.25">
      <c r="D1172" t="str">
        <f>IF(_xlfn.XLOOKUP(C1172, ABZ!A:A, ABZ!B:B, "", 0) = 0, "", _xlfn.XLOOKUP(C1172, ABZ!A:A, ABZ!B:B, "", 0))</f>
        <v/>
      </c>
      <c r="M1172" s="9"/>
      <c r="N1172" s="18"/>
      <c r="P1172" s="10"/>
    </row>
    <row r="1173" spans="2:21" x14ac:dyDescent="0.25">
      <c r="D1173" t="str">
        <f>IF(_xlfn.XLOOKUP(C1173, ABZ!A:A, ABZ!B:B, "", 0) = 0, "", _xlfn.XLOOKUP(C1173, ABZ!A:A, ABZ!B:B, "", 0))</f>
        <v/>
      </c>
      <c r="M1173" s="9"/>
    </row>
    <row r="1174" spans="2:21" x14ac:dyDescent="0.25">
      <c r="D1174" t="str">
        <f>IF(_xlfn.XLOOKUP(C1174, ABZ!A:A, ABZ!B:B, "", 0) = 0, "", _xlfn.XLOOKUP(C1174, ABZ!A:A, ABZ!B:B, "", 0))</f>
        <v/>
      </c>
      <c r="M1174" s="9"/>
    </row>
    <row r="1175" spans="2:21" x14ac:dyDescent="0.25">
      <c r="D1175" t="str">
        <f>IF(_xlfn.XLOOKUP(C1175, ABZ!A:A, ABZ!B:B, "", 0) = 0, "", _xlfn.XLOOKUP(C1175, ABZ!A:A, ABZ!B:B, "", 0))</f>
        <v/>
      </c>
    </row>
    <row r="1176" spans="2:21" x14ac:dyDescent="0.25">
      <c r="D1176" t="str">
        <f>IF(_xlfn.XLOOKUP(C1176, ABZ!A:A, ABZ!B:B, "", 0) = 0, "", _xlfn.XLOOKUP(C1176, ABZ!A:A, ABZ!B:B, "", 0))</f>
        <v/>
      </c>
    </row>
    <row r="1177" spans="2:21" x14ac:dyDescent="0.25">
      <c r="D1177" t="str">
        <f>IF(_xlfn.XLOOKUP(C1177, ABZ!A:A, ABZ!B:B, "", 0) = 0, "", _xlfn.XLOOKUP(C1177, ABZ!A:A, ABZ!B:B, "", 0))</f>
        <v/>
      </c>
    </row>
    <row r="1178" spans="2:21" x14ac:dyDescent="0.25">
      <c r="D1178" t="str">
        <f>IF(_xlfn.XLOOKUP(C1178, ABZ!A:A, ABZ!B:B, "", 0) = 0, "", _xlfn.XLOOKUP(C1178, ABZ!A:A, ABZ!B:B, "", 0))</f>
        <v/>
      </c>
    </row>
    <row r="1179" spans="2:21" x14ac:dyDescent="0.25">
      <c r="D1179" t="str">
        <f>IF(_xlfn.XLOOKUP(C1179, ABZ!A:A, ABZ!B:B, "", 0) = 0, "", _xlfn.XLOOKUP(C1179, ABZ!A:A, ABZ!B:B, "", 0))</f>
        <v/>
      </c>
    </row>
    <row r="1180" spans="2:21" x14ac:dyDescent="0.25">
      <c r="D1180" t="str">
        <f>IF(_xlfn.XLOOKUP(C1180, ABZ!A:A, ABZ!B:B, "", 0) = 0, "", _xlfn.XLOOKUP(C1180, ABZ!A:A, ABZ!B:B, "", 0))</f>
        <v/>
      </c>
    </row>
    <row r="1182" spans="2:21" x14ac:dyDescent="0.25">
      <c r="B1182" s="4" t="s">
        <v>456</v>
      </c>
      <c r="C1182" t="s">
        <v>526</v>
      </c>
      <c r="D1182" t="str">
        <f>IF(_xlfn.XLOOKUP(C1182, ABZ!A:A, ABZ!B:B, "", 0) = 0, "", _xlfn.XLOOKUP(C1182, ABZ!A:A, ABZ!B:B, "", 0))</f>
        <v>GroupAccountingESG</v>
      </c>
      <c r="E1182" t="s">
        <v>834</v>
      </c>
      <c r="F1182" t="s">
        <v>530</v>
      </c>
      <c r="J1182" t="s">
        <v>874</v>
      </c>
      <c r="L1182" s="9">
        <v>46113</v>
      </c>
      <c r="M1182" s="9">
        <v>46119</v>
      </c>
      <c r="N1182" s="18">
        <f t="shared" ref="N1182" ca="1" si="50">IF(M1182&lt;&gt;"",M1182-L1182,TODAY()-L1182)</f>
        <v>6</v>
      </c>
      <c r="O1182" s="9">
        <v>46120</v>
      </c>
      <c r="P1182" s="9" t="str">
        <f t="shared" ref="P1182" si="51">IF(M1182="","⏳ Offen",IF(M1182&lt;=O1182,"✅ Ja","❌ Nein"))</f>
        <v>✅ Ja</v>
      </c>
      <c r="Q1182" t="s">
        <v>842</v>
      </c>
      <c r="S1182" t="s">
        <v>840</v>
      </c>
      <c r="T1182" t="s">
        <v>540</v>
      </c>
      <c r="U1182" t="s">
        <v>666</v>
      </c>
    </row>
    <row r="1183" spans="2:21" x14ac:dyDescent="0.25">
      <c r="B1183" t="s">
        <v>889</v>
      </c>
      <c r="C1183" t="s">
        <v>759</v>
      </c>
      <c r="D1183" t="str">
        <f>IF(_xlfn.XLOOKUP(C1183, ABZ!A:A, ABZ!B:B, "", 0) = 0, "", _xlfn.XLOOKUP(C1183, ABZ!A:A, ABZ!B:B, "", 0))</f>
        <v>VTR-CS-SER-PartnerCommunication</v>
      </c>
      <c r="E1183" t="s">
        <v>834</v>
      </c>
      <c r="F1183" t="s">
        <v>528</v>
      </c>
      <c r="J1183" t="s">
        <v>875</v>
      </c>
      <c r="K1183" t="s">
        <v>911</v>
      </c>
      <c r="L1183" s="9">
        <v>46120</v>
      </c>
      <c r="N1183" s="18"/>
      <c r="O1183" s="9">
        <v>46126</v>
      </c>
      <c r="P1183" s="9" t="str">
        <f>IF(M1183="","⏳ Offen",IF(M1183&lt;=#REF!,"✅ Ja","❌ Nein"))</f>
        <v>⏳ Offen</v>
      </c>
      <c r="Q1183" t="s">
        <v>847</v>
      </c>
      <c r="R1183" t="s">
        <v>841</v>
      </c>
      <c r="S1183" t="s">
        <v>840</v>
      </c>
      <c r="U1183" t="s">
        <v>698</v>
      </c>
    </row>
    <row r="1184" spans="2:21" x14ac:dyDescent="0.25">
      <c r="B1184" t="s">
        <v>890</v>
      </c>
      <c r="C1184" t="s">
        <v>472</v>
      </c>
      <c r="D1184" t="str">
        <f>IF(_xlfn.XLOOKUP(C1184, ABZ!A:A, ABZ!B:B, "", 0) = 0, "", _xlfn.XLOOKUP(C1184, ABZ!A:A, ABZ!B:B, "", 0))</f>
        <v>D2C-MarketingContent</v>
      </c>
      <c r="E1184" t="s">
        <v>834</v>
      </c>
      <c r="F1184" t="s">
        <v>529</v>
      </c>
      <c r="J1184" t="s">
        <v>875</v>
      </c>
      <c r="K1184" t="s">
        <v>912</v>
      </c>
      <c r="L1184" s="9">
        <v>46120</v>
      </c>
      <c r="N1184" s="18"/>
      <c r="O1184" s="9">
        <v>46121</v>
      </c>
      <c r="P1184" s="9" t="str">
        <f>IF(M1184="","⏳ Offen",IF(M1184&lt;=#REF!,"✅ Ja","❌ Nein"))</f>
        <v>⏳ Offen</v>
      </c>
      <c r="Q1184" t="s">
        <v>837</v>
      </c>
      <c r="S1184" t="s">
        <v>840</v>
      </c>
      <c r="U1184" t="s">
        <v>916</v>
      </c>
    </row>
    <row r="1185" spans="2:21" x14ac:dyDescent="0.25">
      <c r="B1185" t="s">
        <v>891</v>
      </c>
      <c r="C1185" t="s">
        <v>460</v>
      </c>
      <c r="D1185" t="str">
        <f>IF(_xlfn.XLOOKUP(C1185, ABZ!A:A, ABZ!B:B, "", 0) = 0, "", _xlfn.XLOOKUP(C1185, ABZ!A:A, ABZ!B:B, "", 0))</f>
        <v>ENT-PM-F-OS</v>
      </c>
      <c r="E1185" t="s">
        <v>834</v>
      </c>
      <c r="F1185" t="s">
        <v>532</v>
      </c>
      <c r="J1185" t="s">
        <v>875</v>
      </c>
      <c r="K1185" t="s">
        <v>913</v>
      </c>
      <c r="L1185" s="9">
        <v>46120</v>
      </c>
      <c r="N1185" s="18"/>
      <c r="O1185" s="9">
        <v>46121</v>
      </c>
      <c r="P1185" s="9" t="str">
        <f>IF(M1185="","⏳ Offen",IF(M1185&lt;=#REF!,"✅ Ja","❌ Nein"))</f>
        <v>⏳ Offen</v>
      </c>
      <c r="Q1185" t="s">
        <v>838</v>
      </c>
      <c r="S1185" t="s">
        <v>838</v>
      </c>
      <c r="U1185" t="s">
        <v>917</v>
      </c>
    </row>
    <row r="1186" spans="2:21" x14ac:dyDescent="0.25">
      <c r="B1186" t="s">
        <v>891</v>
      </c>
      <c r="C1186" t="s">
        <v>460</v>
      </c>
      <c r="D1186" t="str">
        <f>IF(_xlfn.XLOOKUP(C1186, ABZ!A:A, ABZ!B:B, "", 0) = 0, "", _xlfn.XLOOKUP(C1186, ABZ!A:A, ABZ!B:B, "", 0))</f>
        <v>ENT-PM-F-OS</v>
      </c>
      <c r="E1186" t="s">
        <v>834</v>
      </c>
      <c r="F1186" t="s">
        <v>529</v>
      </c>
      <c r="J1186" t="s">
        <v>875</v>
      </c>
      <c r="K1186" t="s">
        <v>913</v>
      </c>
      <c r="L1186" s="9">
        <v>46120</v>
      </c>
      <c r="N1186" s="18"/>
      <c r="O1186" s="9">
        <v>46121</v>
      </c>
      <c r="P1186" s="9" t="str">
        <f>IF(M1186="","⏳ Offen",IF(M1186&lt;=#REF!,"✅ Ja","❌ Nein"))</f>
        <v>⏳ Offen</v>
      </c>
      <c r="S1186" t="s">
        <v>838</v>
      </c>
      <c r="U1186" t="s">
        <v>917</v>
      </c>
    </row>
    <row r="1187" spans="2:21" x14ac:dyDescent="0.25">
      <c r="B1187" t="s">
        <v>892</v>
      </c>
      <c r="C1187" t="s">
        <v>468</v>
      </c>
      <c r="D1187" t="str">
        <f>IF(_xlfn.XLOOKUP(C1187, ABZ!A:A, ABZ!B:B, "", 0) = 0, "", _xlfn.XLOOKUP(C1187, ABZ!A:A, ABZ!B:B, "", 0))</f>
        <v>SUP-TCO-KnowledgeManagement</v>
      </c>
      <c r="E1187" t="s">
        <v>834</v>
      </c>
      <c r="F1187" t="s">
        <v>531</v>
      </c>
      <c r="J1187" t="s">
        <v>875</v>
      </c>
      <c r="K1187" t="s">
        <v>914</v>
      </c>
      <c r="L1187" s="9">
        <v>46120</v>
      </c>
      <c r="N1187" s="18"/>
      <c r="O1187" s="9">
        <v>46134</v>
      </c>
      <c r="P1187" s="9" t="str">
        <f>IF(M1187="","⏳ Offen",IF(M1187&lt;=#REF!,"✅ Ja","❌ Nein"))</f>
        <v>⏳ Offen</v>
      </c>
      <c r="Q1187" t="s">
        <v>840</v>
      </c>
      <c r="S1187" t="s">
        <v>840</v>
      </c>
      <c r="U1187" t="s">
        <v>622</v>
      </c>
    </row>
    <row r="1188" spans="2:21" x14ac:dyDescent="0.25">
      <c r="B1188" t="s">
        <v>893</v>
      </c>
      <c r="C1188" t="s">
        <v>468</v>
      </c>
      <c r="D1188" t="str">
        <f>IF(_xlfn.XLOOKUP(C1188, ABZ!A:A, ABZ!B:B, "", 0) = 0, "", _xlfn.XLOOKUP(C1188, ABZ!A:A, ABZ!B:B, "", 0))</f>
        <v>SUP-TCO-KnowledgeManagement</v>
      </c>
      <c r="E1188" t="s">
        <v>834</v>
      </c>
      <c r="F1188" t="s">
        <v>531</v>
      </c>
      <c r="J1188" t="s">
        <v>875</v>
      </c>
      <c r="K1188" t="s">
        <v>914</v>
      </c>
      <c r="L1188" s="9">
        <v>46120</v>
      </c>
      <c r="N1188" s="18"/>
      <c r="O1188" s="9">
        <v>46133</v>
      </c>
      <c r="P1188" s="9" t="str">
        <f>IF(M1188="","⏳ Offen",IF(M1188&lt;=#REF!,"✅ Ja","❌ Nein"))</f>
        <v>⏳ Offen</v>
      </c>
      <c r="Q1188" t="s">
        <v>840</v>
      </c>
      <c r="S1188" t="s">
        <v>840</v>
      </c>
      <c r="U1188" t="s">
        <v>622</v>
      </c>
    </row>
    <row r="1189" spans="2:21" x14ac:dyDescent="0.25">
      <c r="B1189" t="s">
        <v>894</v>
      </c>
      <c r="C1189" t="s">
        <v>468</v>
      </c>
      <c r="D1189" t="str">
        <f>IF(_xlfn.XLOOKUP(C1189, ABZ!A:A, ABZ!B:B, "", 0) = 0, "", _xlfn.XLOOKUP(C1189, ABZ!A:A, ABZ!B:B, "", 0))</f>
        <v>SUP-TCO-KnowledgeManagement</v>
      </c>
      <c r="E1189" t="s">
        <v>834</v>
      </c>
      <c r="F1189" t="s">
        <v>530</v>
      </c>
      <c r="J1189" t="s">
        <v>875</v>
      </c>
      <c r="K1189" t="s">
        <v>914</v>
      </c>
      <c r="L1189" s="9">
        <v>46120</v>
      </c>
      <c r="N1189" s="18"/>
      <c r="O1189" s="9">
        <v>46133</v>
      </c>
      <c r="P1189" s="9" t="str">
        <f>IF(M1189="","⏳ Offen",IF(M1189&lt;=#REF!,"✅ Ja","❌ Nein"))</f>
        <v>⏳ Offen</v>
      </c>
      <c r="Q1189" t="s">
        <v>839</v>
      </c>
      <c r="S1189" t="s">
        <v>840</v>
      </c>
      <c r="U1189" t="s">
        <v>622</v>
      </c>
    </row>
    <row r="1190" spans="2:21" x14ac:dyDescent="0.25">
      <c r="B1190" t="s">
        <v>895</v>
      </c>
      <c r="C1190" t="s">
        <v>468</v>
      </c>
      <c r="D1190" t="str">
        <f>IF(_xlfn.XLOOKUP(C1190, ABZ!A:A, ABZ!B:B, "", 0) = 0, "", _xlfn.XLOOKUP(C1190, ABZ!A:A, ABZ!B:B, "", 0))</f>
        <v>SUP-TCO-KnowledgeManagement</v>
      </c>
      <c r="E1190" t="s">
        <v>834</v>
      </c>
      <c r="F1190" t="s">
        <v>530</v>
      </c>
      <c r="J1190" t="s">
        <v>875</v>
      </c>
      <c r="K1190" t="s">
        <v>914</v>
      </c>
      <c r="L1190" s="9">
        <v>46120</v>
      </c>
      <c r="N1190" s="18"/>
      <c r="O1190" s="9">
        <v>46133</v>
      </c>
      <c r="P1190" s="9" t="str">
        <f>IF(M1190="","⏳ Offen",IF(M1190&lt;=#REF!,"✅ Ja","❌ Nein"))</f>
        <v>⏳ Offen</v>
      </c>
      <c r="Q1190" t="s">
        <v>839</v>
      </c>
      <c r="S1190" t="s">
        <v>840</v>
      </c>
      <c r="U1190" t="s">
        <v>622</v>
      </c>
    </row>
    <row r="1191" spans="2:21" x14ac:dyDescent="0.25">
      <c r="B1191" t="s">
        <v>896</v>
      </c>
      <c r="C1191" t="s">
        <v>468</v>
      </c>
      <c r="D1191" t="str">
        <f>IF(_xlfn.XLOOKUP(C1191, ABZ!A:A, ABZ!B:B, "", 0) = 0, "", _xlfn.XLOOKUP(C1191, ABZ!A:A, ABZ!B:B, "", 0))</f>
        <v>SUP-TCO-KnowledgeManagement</v>
      </c>
      <c r="E1191" t="s">
        <v>834</v>
      </c>
      <c r="F1191" t="s">
        <v>528</v>
      </c>
      <c r="J1191" t="s">
        <v>875</v>
      </c>
      <c r="K1191" t="s">
        <v>914</v>
      </c>
      <c r="L1191" s="9">
        <v>46120</v>
      </c>
      <c r="N1191" s="18"/>
      <c r="O1191" s="9">
        <v>46133</v>
      </c>
      <c r="P1191" s="9" t="str">
        <f>IF(M1191="","⏳ Offen",IF(M1191&lt;=#REF!,"✅ Ja","❌ Nein"))</f>
        <v>⏳ Offen</v>
      </c>
      <c r="Q1191" t="s">
        <v>841</v>
      </c>
      <c r="S1191" t="s">
        <v>840</v>
      </c>
      <c r="U1191" t="s">
        <v>622</v>
      </c>
    </row>
    <row r="1192" spans="2:21" x14ac:dyDescent="0.25">
      <c r="B1192" t="s">
        <v>897</v>
      </c>
      <c r="C1192" t="s">
        <v>468</v>
      </c>
      <c r="D1192" t="str">
        <f>IF(_xlfn.XLOOKUP(C1192, ABZ!A:A, ABZ!B:B, "", 0) = 0, "", _xlfn.XLOOKUP(C1192, ABZ!A:A, ABZ!B:B, "", 0))</f>
        <v>SUP-TCO-KnowledgeManagement</v>
      </c>
      <c r="E1192" t="s">
        <v>834</v>
      </c>
      <c r="F1192" t="s">
        <v>528</v>
      </c>
      <c r="J1192" t="s">
        <v>875</v>
      </c>
      <c r="K1192" t="s">
        <v>914</v>
      </c>
      <c r="L1192" s="9">
        <v>46120</v>
      </c>
      <c r="N1192" s="18"/>
      <c r="O1192" s="9">
        <v>46133</v>
      </c>
      <c r="P1192" s="9" t="str">
        <f>IF(M1192="","⏳ Offen",IF(M1192&lt;=#REF!,"✅ Ja","❌ Nein"))</f>
        <v>⏳ Offen</v>
      </c>
      <c r="Q1192" t="s">
        <v>841</v>
      </c>
      <c r="S1192" t="s">
        <v>840</v>
      </c>
      <c r="U1192" t="s">
        <v>622</v>
      </c>
    </row>
    <row r="1193" spans="2:21" x14ac:dyDescent="0.25">
      <c r="B1193" t="s">
        <v>898</v>
      </c>
      <c r="C1193" t="s">
        <v>468</v>
      </c>
      <c r="D1193" t="str">
        <f>IF(_xlfn.XLOOKUP(C1193, ABZ!A:A, ABZ!B:B, "", 0) = 0, "", _xlfn.XLOOKUP(C1193, ABZ!A:A, ABZ!B:B, "", 0))</f>
        <v>SUP-TCO-KnowledgeManagement</v>
      </c>
      <c r="E1193" t="s">
        <v>834</v>
      </c>
      <c r="F1193" t="s">
        <v>527</v>
      </c>
      <c r="J1193" t="s">
        <v>875</v>
      </c>
      <c r="K1193" t="s">
        <v>914</v>
      </c>
      <c r="L1193" s="9">
        <v>46120</v>
      </c>
      <c r="N1193" s="18"/>
      <c r="O1193" s="9">
        <v>46133</v>
      </c>
      <c r="P1193" s="9" t="str">
        <f>IF(M1193="","⏳ Offen",IF(M1193&lt;=#REF!,"✅ Ja","❌ Nein"))</f>
        <v>⏳ Offen</v>
      </c>
      <c r="Q1193" t="s">
        <v>836</v>
      </c>
      <c r="S1193" t="s">
        <v>840</v>
      </c>
      <c r="U1193" t="s">
        <v>622</v>
      </c>
    </row>
    <row r="1194" spans="2:21" x14ac:dyDescent="0.25">
      <c r="B1194" t="s">
        <v>899</v>
      </c>
      <c r="C1194" t="s">
        <v>468</v>
      </c>
      <c r="D1194" t="str">
        <f>IF(_xlfn.XLOOKUP(C1194, ABZ!A:A, ABZ!B:B, "", 0) = 0, "", _xlfn.XLOOKUP(C1194, ABZ!A:A, ABZ!B:B, "", 0))</f>
        <v>SUP-TCO-KnowledgeManagement</v>
      </c>
      <c r="E1194" t="s">
        <v>834</v>
      </c>
      <c r="F1194" t="s">
        <v>527</v>
      </c>
      <c r="J1194" t="s">
        <v>875</v>
      </c>
      <c r="K1194" t="s">
        <v>914</v>
      </c>
      <c r="L1194" s="9">
        <v>46120</v>
      </c>
      <c r="N1194" s="18"/>
      <c r="O1194" s="9">
        <v>46133</v>
      </c>
      <c r="P1194" s="9" t="str">
        <f>IF(M1194="","⏳ Offen",IF(M1194&lt;=#REF!,"✅ Ja","❌ Nein"))</f>
        <v>⏳ Offen</v>
      </c>
      <c r="Q1194" t="s">
        <v>836</v>
      </c>
      <c r="S1194" t="s">
        <v>840</v>
      </c>
      <c r="U1194" t="s">
        <v>622</v>
      </c>
    </row>
    <row r="1195" spans="2:21" x14ac:dyDescent="0.25">
      <c r="B1195" t="s">
        <v>900</v>
      </c>
      <c r="C1195" t="s">
        <v>468</v>
      </c>
      <c r="D1195" t="str">
        <f>IF(_xlfn.XLOOKUP(C1195, ABZ!A:A, ABZ!B:B, "", 0) = 0, "", _xlfn.XLOOKUP(C1195, ABZ!A:A, ABZ!B:B, "", 0))</f>
        <v>SUP-TCO-KnowledgeManagement</v>
      </c>
      <c r="E1195" t="s">
        <v>834</v>
      </c>
      <c r="F1195" t="s">
        <v>529</v>
      </c>
      <c r="J1195" t="s">
        <v>875</v>
      </c>
      <c r="K1195" t="s">
        <v>914</v>
      </c>
      <c r="L1195" s="9">
        <v>46120</v>
      </c>
      <c r="N1195" s="18"/>
      <c r="O1195" s="9">
        <v>46127</v>
      </c>
      <c r="P1195" s="9" t="str">
        <f>IF(M1195="","⏳ Offen",IF(M1195&lt;=#REF!,"✅ Ja","❌ Nein"))</f>
        <v>⏳ Offen</v>
      </c>
      <c r="Q1195" t="s">
        <v>837</v>
      </c>
      <c r="S1195" t="s">
        <v>840</v>
      </c>
      <c r="U1195" t="s">
        <v>622</v>
      </c>
    </row>
    <row r="1196" spans="2:21" x14ac:dyDescent="0.25">
      <c r="B1196" t="s">
        <v>901</v>
      </c>
      <c r="C1196" t="s">
        <v>482</v>
      </c>
      <c r="D1196" t="str">
        <f>IF(_xlfn.XLOOKUP(C1196, ABZ!A:A, ABZ!B:B, "", 0) = 0, "", _xlfn.XLOOKUP(C1196, ABZ!A:A, ABZ!B:B, "", 0))</f>
        <v>KOM-Marketing</v>
      </c>
      <c r="E1196" t="s">
        <v>834</v>
      </c>
      <c r="F1196" t="s">
        <v>529</v>
      </c>
      <c r="J1196" t="s">
        <v>875</v>
      </c>
      <c r="K1196" t="s">
        <v>915</v>
      </c>
      <c r="L1196" s="9">
        <v>46120</v>
      </c>
      <c r="N1196" s="18"/>
      <c r="O1196" s="9">
        <v>46122</v>
      </c>
      <c r="P1196" s="9" t="str">
        <f>IF(M1196="","⏳ Offen",IF(M1196&lt;=#REF!,"✅ Ja","❌ Nein"))</f>
        <v>⏳ Offen</v>
      </c>
      <c r="Q1196" t="s">
        <v>837</v>
      </c>
      <c r="S1196" t="s">
        <v>840</v>
      </c>
      <c r="U1196" t="s">
        <v>698</v>
      </c>
    </row>
    <row r="1197" spans="2:21" x14ac:dyDescent="0.25">
      <c r="B1197" t="s">
        <v>902</v>
      </c>
      <c r="C1197" t="s">
        <v>468</v>
      </c>
      <c r="D1197" t="str">
        <f>IF(_xlfn.XLOOKUP(C1197, ABZ!A:A, ABZ!B:B, "", 0) = 0, "", _xlfn.XLOOKUP(C1197, ABZ!A:A, ABZ!B:B, "", 0))</f>
        <v>SUP-TCO-KnowledgeManagement</v>
      </c>
      <c r="E1197" t="s">
        <v>834</v>
      </c>
      <c r="F1197" t="s">
        <v>527</v>
      </c>
      <c r="J1197" t="s">
        <v>875</v>
      </c>
      <c r="K1197" t="s">
        <v>914</v>
      </c>
      <c r="L1197" s="9">
        <v>46120</v>
      </c>
      <c r="N1197" s="18"/>
      <c r="O1197" s="9">
        <v>46135</v>
      </c>
      <c r="P1197" s="9" t="str">
        <f>IF(M1197="","⏳ Offen",IF(M1197&lt;=#REF!,"✅ Ja","❌ Nein"))</f>
        <v>⏳ Offen</v>
      </c>
      <c r="Q1197" t="s">
        <v>836</v>
      </c>
      <c r="S1197" t="s">
        <v>840</v>
      </c>
      <c r="U1197" t="s">
        <v>622</v>
      </c>
    </row>
    <row r="1198" spans="2:21" x14ac:dyDescent="0.25">
      <c r="B1198" t="s">
        <v>903</v>
      </c>
      <c r="C1198" t="s">
        <v>468</v>
      </c>
      <c r="D1198" t="str">
        <f>IF(_xlfn.XLOOKUP(C1198, ABZ!A:A, ABZ!B:B, "", 0) = 0, "", _xlfn.XLOOKUP(C1198, ABZ!A:A, ABZ!B:B, "", 0))</f>
        <v>SUP-TCO-KnowledgeManagement</v>
      </c>
      <c r="E1198" t="s">
        <v>834</v>
      </c>
      <c r="F1198" t="s">
        <v>527</v>
      </c>
      <c r="J1198" t="s">
        <v>875</v>
      </c>
      <c r="K1198" t="s">
        <v>914</v>
      </c>
      <c r="L1198" s="9">
        <v>46120</v>
      </c>
      <c r="N1198" s="18"/>
      <c r="O1198" s="9">
        <v>46135</v>
      </c>
      <c r="P1198" s="9" t="str">
        <f>IF(M1198="","⏳ Offen",IF(M1198&lt;=#REF!,"✅ Ja","❌ Nein"))</f>
        <v>⏳ Offen</v>
      </c>
      <c r="Q1198" t="s">
        <v>841</v>
      </c>
      <c r="S1198" t="s">
        <v>840</v>
      </c>
      <c r="U1198" t="s">
        <v>622</v>
      </c>
    </row>
    <row r="1199" spans="2:21" x14ac:dyDescent="0.25">
      <c r="B1199" t="s">
        <v>904</v>
      </c>
      <c r="C1199" t="s">
        <v>468</v>
      </c>
      <c r="D1199" t="str">
        <f>IF(_xlfn.XLOOKUP(C1199, ABZ!A:A, ABZ!B:B, "", 0) = 0, "", _xlfn.XLOOKUP(C1199, ABZ!A:A, ABZ!B:B, "", 0))</f>
        <v>SUP-TCO-KnowledgeManagement</v>
      </c>
      <c r="E1199" t="s">
        <v>834</v>
      </c>
      <c r="F1199" t="s">
        <v>527</v>
      </c>
      <c r="J1199" t="s">
        <v>875</v>
      </c>
      <c r="K1199" t="s">
        <v>914</v>
      </c>
      <c r="L1199" s="9">
        <v>46120</v>
      </c>
      <c r="N1199" s="18"/>
      <c r="O1199" s="9">
        <v>46135</v>
      </c>
      <c r="P1199" s="9" t="str">
        <f>IF(M1199="","⏳ Offen",IF(M1199&lt;=#REF!,"✅ Ja","❌ Nein"))</f>
        <v>⏳ Offen</v>
      </c>
      <c r="Q1199" t="s">
        <v>839</v>
      </c>
      <c r="S1199" t="s">
        <v>840</v>
      </c>
      <c r="U1199" t="s">
        <v>622</v>
      </c>
    </row>
    <row r="1200" spans="2:21" x14ac:dyDescent="0.25">
      <c r="B1200" t="s">
        <v>905</v>
      </c>
      <c r="C1200" t="s">
        <v>468</v>
      </c>
      <c r="D1200" t="str">
        <f>IF(_xlfn.XLOOKUP(C1200, ABZ!A:A, ABZ!B:B, "", 0) = 0, "", _xlfn.XLOOKUP(C1200, ABZ!A:A, ABZ!B:B, "", 0))</f>
        <v>SUP-TCO-KnowledgeManagement</v>
      </c>
      <c r="E1200" t="s">
        <v>834</v>
      </c>
      <c r="F1200" t="s">
        <v>527</v>
      </c>
      <c r="J1200" t="s">
        <v>875</v>
      </c>
      <c r="K1200" t="s">
        <v>914</v>
      </c>
      <c r="L1200" s="9">
        <v>46120</v>
      </c>
      <c r="N1200" s="18"/>
      <c r="O1200" s="9">
        <v>46135</v>
      </c>
      <c r="P1200" s="9" t="str">
        <f>IF(M1200="","⏳ Offen",IF(M1200&lt;=#REF!,"✅ Ja","❌ Nein"))</f>
        <v>⏳ Offen</v>
      </c>
      <c r="Q1200" t="s">
        <v>840</v>
      </c>
      <c r="S1200" t="s">
        <v>840</v>
      </c>
      <c r="U1200" t="s">
        <v>622</v>
      </c>
    </row>
    <row r="1201" spans="2:21" x14ac:dyDescent="0.25">
      <c r="B1201" t="s">
        <v>906</v>
      </c>
      <c r="C1201" t="s">
        <v>468</v>
      </c>
      <c r="D1201" t="str">
        <f>IF(_xlfn.XLOOKUP(C1201, ABZ!A:A, ABZ!B:B, "", 0) = 0, "", _xlfn.XLOOKUP(C1201, ABZ!A:A, ABZ!B:B, "", 0))</f>
        <v>SUP-TCO-KnowledgeManagement</v>
      </c>
      <c r="E1201" t="s">
        <v>834</v>
      </c>
      <c r="F1201" t="s">
        <v>527</v>
      </c>
      <c r="J1201" t="s">
        <v>875</v>
      </c>
      <c r="K1201" t="s">
        <v>914</v>
      </c>
      <c r="L1201" s="9">
        <v>46120</v>
      </c>
      <c r="N1201" s="18"/>
      <c r="O1201" s="9">
        <v>46127</v>
      </c>
      <c r="P1201" s="9" t="str">
        <f>IF(M1201="","⏳ Offen",IF(M1201&lt;=#REF!,"✅ Ja","❌ Nein"))</f>
        <v>⏳ Offen</v>
      </c>
      <c r="Q1201" t="s">
        <v>846</v>
      </c>
      <c r="S1201" t="s">
        <v>840</v>
      </c>
      <c r="U1201" t="s">
        <v>622</v>
      </c>
    </row>
    <row r="1202" spans="2:21" x14ac:dyDescent="0.25">
      <c r="B1202" t="s">
        <v>907</v>
      </c>
      <c r="C1202" t="s">
        <v>468</v>
      </c>
      <c r="D1202" t="str">
        <f>IF(_xlfn.XLOOKUP(C1202, ABZ!A:A, ABZ!B:B, "", 0) = 0, "", _xlfn.XLOOKUP(C1202, ABZ!A:A, ABZ!B:B, "", 0))</f>
        <v>SUP-TCO-KnowledgeManagement</v>
      </c>
      <c r="E1202" t="s">
        <v>834</v>
      </c>
      <c r="F1202" t="s">
        <v>527</v>
      </c>
      <c r="J1202" t="s">
        <v>875</v>
      </c>
      <c r="K1202" t="s">
        <v>914</v>
      </c>
      <c r="L1202" s="9">
        <v>46120</v>
      </c>
      <c r="N1202" s="18"/>
      <c r="O1202" s="9">
        <v>46135</v>
      </c>
      <c r="P1202" s="9" t="str">
        <f>IF(M1202="","⏳ Offen",IF(M1202&lt;=#REF!,"✅ Ja","❌ Nein"))</f>
        <v>⏳ Offen</v>
      </c>
      <c r="Q1202" t="s">
        <v>836</v>
      </c>
      <c r="S1202" t="s">
        <v>840</v>
      </c>
      <c r="U1202" t="s">
        <v>622</v>
      </c>
    </row>
    <row r="1203" spans="2:21" x14ac:dyDescent="0.25">
      <c r="B1203" t="s">
        <v>908</v>
      </c>
      <c r="C1203" t="s">
        <v>468</v>
      </c>
      <c r="D1203" t="str">
        <f>IF(_xlfn.XLOOKUP(C1203, ABZ!A:A, ABZ!B:B, "", 0) = 0, "", _xlfn.XLOOKUP(C1203, ABZ!A:A, ABZ!B:B, "", 0))</f>
        <v>SUP-TCO-KnowledgeManagement</v>
      </c>
      <c r="E1203" t="s">
        <v>834</v>
      </c>
      <c r="F1203" t="s">
        <v>527</v>
      </c>
      <c r="J1203" t="s">
        <v>875</v>
      </c>
      <c r="K1203" t="s">
        <v>914</v>
      </c>
      <c r="L1203" s="9">
        <v>46120</v>
      </c>
      <c r="N1203" s="18"/>
      <c r="O1203" s="9">
        <v>46135</v>
      </c>
      <c r="P1203" s="9" t="str">
        <f>IF(M1203="","⏳ Offen",IF(M1203&lt;=#REF!,"✅ Ja","❌ Nein"))</f>
        <v>⏳ Offen</v>
      </c>
      <c r="Q1203" t="s">
        <v>841</v>
      </c>
      <c r="S1203" t="s">
        <v>840</v>
      </c>
      <c r="U1203" t="s">
        <v>622</v>
      </c>
    </row>
    <row r="1204" spans="2:21" x14ac:dyDescent="0.25">
      <c r="B1204" t="s">
        <v>909</v>
      </c>
      <c r="C1204" t="s">
        <v>468</v>
      </c>
      <c r="D1204" t="str">
        <f>IF(_xlfn.XLOOKUP(C1204, ABZ!A:A, ABZ!B:B, "", 0) = 0, "", _xlfn.XLOOKUP(C1204, ABZ!A:A, ABZ!B:B, "", 0))</f>
        <v>SUP-TCO-KnowledgeManagement</v>
      </c>
      <c r="E1204" t="s">
        <v>834</v>
      </c>
      <c r="F1204" t="s">
        <v>527</v>
      </c>
      <c r="J1204" t="s">
        <v>875</v>
      </c>
      <c r="K1204" t="s">
        <v>914</v>
      </c>
      <c r="L1204" s="9">
        <v>46120</v>
      </c>
      <c r="N1204" s="18"/>
      <c r="O1204" s="9">
        <v>46135</v>
      </c>
      <c r="P1204" s="9" t="str">
        <f>IF(M1204="","⏳ Offen",IF(M1204&lt;=#REF!,"✅ Ja","❌ Nein"))</f>
        <v>⏳ Offen</v>
      </c>
      <c r="Q1204" t="s">
        <v>839</v>
      </c>
      <c r="S1204" t="s">
        <v>840</v>
      </c>
      <c r="U1204" t="s">
        <v>622</v>
      </c>
    </row>
    <row r="1205" spans="2:21" x14ac:dyDescent="0.25">
      <c r="B1205" t="s">
        <v>910</v>
      </c>
      <c r="C1205" t="s">
        <v>468</v>
      </c>
      <c r="D1205" t="str">
        <f>IF(_xlfn.XLOOKUP(C1205, ABZ!A:A, ABZ!B:B, "", 0) = 0, "", _xlfn.XLOOKUP(C1205, ABZ!A:A, ABZ!B:B, "", 0))</f>
        <v>SUP-TCO-KnowledgeManagement</v>
      </c>
      <c r="E1205" t="s">
        <v>834</v>
      </c>
      <c r="F1205" t="s">
        <v>527</v>
      </c>
      <c r="J1205" t="s">
        <v>875</v>
      </c>
      <c r="K1205" t="s">
        <v>914</v>
      </c>
      <c r="L1205" s="9">
        <v>46120</v>
      </c>
      <c r="N1205" s="18"/>
      <c r="O1205" s="9">
        <v>46135</v>
      </c>
      <c r="P1205" s="9" t="str">
        <f>IF(M1205="","⏳ Offen",IF(M1205&lt;=#REF!,"✅ Ja","❌ Nein"))</f>
        <v>⏳ Offen</v>
      </c>
      <c r="Q1205" t="s">
        <v>840</v>
      </c>
      <c r="S1205" t="s">
        <v>840</v>
      </c>
      <c r="U1205" t="s">
        <v>622</v>
      </c>
    </row>
    <row r="1206" spans="2:21" x14ac:dyDescent="0.25">
      <c r="B1206" s="20" t="s">
        <v>918</v>
      </c>
      <c r="C1206" t="s">
        <v>817</v>
      </c>
      <c r="D1206" t="str">
        <f>IF(_xlfn.XLOOKUP(C1206, ABZ!A:A, ABZ!B:B, "", 0) = 0, "", _xlfn.XLOOKUP(C1206, ABZ!A:A, ABZ!B:B, "", 0))</f>
        <v>CorporateLegal</v>
      </c>
      <c r="E1206" t="s">
        <v>834</v>
      </c>
      <c r="L1206" s="9">
        <v>46150</v>
      </c>
      <c r="N1206" s="9"/>
      <c r="O1206" s="9">
        <v>46184</v>
      </c>
    </row>
    <row r="1207" spans="2:21" x14ac:dyDescent="0.25">
      <c r="B1207" s="20" t="s">
        <v>918</v>
      </c>
      <c r="C1207" t="s">
        <v>817</v>
      </c>
      <c r="D1207" t="str">
        <f>IF(_xlfn.XLOOKUP(C1207, ABZ!A:A, ABZ!B:B, "", 0) = 0, "", _xlfn.XLOOKUP(C1207, ABZ!A:A, ABZ!B:B, "", 0))</f>
        <v>CorporateLegal</v>
      </c>
      <c r="E1207" t="s">
        <v>834</v>
      </c>
      <c r="L1207" s="9">
        <v>46150</v>
      </c>
      <c r="N1207" s="9">
        <v>46150</v>
      </c>
      <c r="O1207" s="9">
        <v>46184</v>
      </c>
    </row>
    <row r="1208" spans="2:21" x14ac:dyDescent="0.25">
      <c r="B1208" s="21" t="s">
        <v>919</v>
      </c>
      <c r="C1208" t="s">
        <v>499</v>
      </c>
      <c r="D1208" t="str">
        <f>IF(_xlfn.XLOOKUP(C1208, ABZ!A:A, ABZ!B:B, "", 0) = 0, "", _xlfn.XLOOKUP(C1208, ABZ!A:A, ABZ!B:B, "", 0))</f>
        <v>ENT-UIC-HtmlAndMiddleware</v>
      </c>
      <c r="E1208" t="s">
        <v>834</v>
      </c>
      <c r="L1208" s="9">
        <v>46155</v>
      </c>
      <c r="N1208" s="9">
        <v>46155</v>
      </c>
      <c r="O1208" s="9">
        <v>46153</v>
      </c>
    </row>
    <row r="1209" spans="2:21" x14ac:dyDescent="0.25">
      <c r="B1209" s="21" t="s">
        <v>919</v>
      </c>
      <c r="C1209" t="s">
        <v>499</v>
      </c>
      <c r="D1209" t="str">
        <f>IF(_xlfn.XLOOKUP(C1209, ABZ!A:A, ABZ!B:B, "", 0) = 0, "", _xlfn.XLOOKUP(C1209, ABZ!A:A, ABZ!B:B, "", 0))</f>
        <v>ENT-UIC-HtmlAndMiddleware</v>
      </c>
      <c r="E1209" t="s">
        <v>834</v>
      </c>
      <c r="L1209" s="9">
        <v>46188</v>
      </c>
      <c r="N1209" s="9">
        <v>46188</v>
      </c>
      <c r="O1209" s="9">
        <v>46153</v>
      </c>
    </row>
    <row r="1210" spans="2:21" x14ac:dyDescent="0.25">
      <c r="B1210" s="21" t="s">
        <v>919</v>
      </c>
      <c r="C1210" t="s">
        <v>499</v>
      </c>
      <c r="D1210" t="str">
        <f>IF(_xlfn.XLOOKUP(C1210, ABZ!A:A, ABZ!B:B, "", 0) = 0, "", _xlfn.XLOOKUP(C1210, ABZ!A:A, ABZ!B:B, "", 0))</f>
        <v>ENT-UIC-HtmlAndMiddleware</v>
      </c>
      <c r="E1210" t="s">
        <v>834</v>
      </c>
      <c r="L1210" s="9">
        <v>46188</v>
      </c>
      <c r="N1210" s="9">
        <v>46188</v>
      </c>
      <c r="O1210" s="9">
        <v>46153</v>
      </c>
    </row>
    <row r="1211" spans="2:21" x14ac:dyDescent="0.25">
      <c r="B1211" s="21" t="s">
        <v>919</v>
      </c>
      <c r="C1211" t="s">
        <v>499</v>
      </c>
      <c r="D1211" t="str">
        <f>IF(_xlfn.XLOOKUP(C1211, ABZ!A:A, ABZ!B:B, "", 0) = 0, "", _xlfn.XLOOKUP(C1211, ABZ!A:A, ABZ!B:B, "", 0))</f>
        <v>ENT-UIC-HtmlAndMiddleware</v>
      </c>
      <c r="E1211" t="s">
        <v>834</v>
      </c>
      <c r="L1211" s="9">
        <v>46188</v>
      </c>
      <c r="N1211" s="9">
        <v>46188</v>
      </c>
      <c r="O1211" s="9">
        <v>46153</v>
      </c>
    </row>
    <row r="1212" spans="2:21" x14ac:dyDescent="0.25">
      <c r="B1212" s="21" t="s">
        <v>919</v>
      </c>
      <c r="C1212" t="s">
        <v>499</v>
      </c>
      <c r="D1212" t="str">
        <f>IF(_xlfn.XLOOKUP(C1212, ABZ!A:A, ABZ!B:B, "", 0) = 0, "", _xlfn.XLOOKUP(C1212, ABZ!A:A, ABZ!B:B, "", 0))</f>
        <v>ENT-UIC-HtmlAndMiddleware</v>
      </c>
      <c r="E1212" t="s">
        <v>834</v>
      </c>
      <c r="L1212" s="9">
        <v>46155</v>
      </c>
      <c r="N1212" s="9">
        <v>46155</v>
      </c>
      <c r="O1212" s="9">
        <v>46153</v>
      </c>
    </row>
    <row r="1213" spans="2:21" x14ac:dyDescent="0.25">
      <c r="B1213" s="21" t="s">
        <v>919</v>
      </c>
      <c r="C1213" t="s">
        <v>499</v>
      </c>
      <c r="D1213" t="str">
        <f>IF(_xlfn.XLOOKUP(C1213, ABZ!A:A, ABZ!B:B, "", 0) = 0, "", _xlfn.XLOOKUP(C1213, ABZ!A:A, ABZ!B:B, "", 0))</f>
        <v>ENT-UIC-HtmlAndMiddleware</v>
      </c>
      <c r="E1213" t="s">
        <v>834</v>
      </c>
      <c r="L1213" s="9">
        <v>46155</v>
      </c>
      <c r="N1213" s="9">
        <v>46155</v>
      </c>
      <c r="O1213" s="9">
        <v>46153</v>
      </c>
    </row>
    <row r="1214" spans="2:21" x14ac:dyDescent="0.25">
      <c r="B1214" s="21" t="s">
        <v>919</v>
      </c>
      <c r="C1214" t="s">
        <v>499</v>
      </c>
      <c r="D1214" t="str">
        <f>IF(_xlfn.XLOOKUP(C1214, ABZ!A:A, ABZ!B:B, "", 0) = 0, "", _xlfn.XLOOKUP(C1214, ABZ!A:A, ABZ!B:B, "", 0))</f>
        <v>ENT-UIC-HtmlAndMiddleware</v>
      </c>
      <c r="E1214" t="s">
        <v>834</v>
      </c>
      <c r="L1214" s="9">
        <v>46155</v>
      </c>
      <c r="N1214" s="9">
        <v>46155</v>
      </c>
      <c r="O1214" s="9">
        <v>46153</v>
      </c>
    </row>
  </sheetData>
  <autoFilter ref="A1:W1214" xr:uid="{A5B5B94F-BEA6-4D97-947C-A456601DB74C}"/>
  <dataValidations count="7">
    <dataValidation type="list" allowBlank="1" showInputMessage="1" showErrorMessage="1" sqref="T2" xr:uid="{4269B4A6-5397-487D-AC27-94DD60A214FF}">
      <formula1>"offen, geliefert, NICHT ausgescheckt, ausgescheckt, importiert, hochgeladen"</formula1>
    </dataValidation>
    <dataValidation type="list" allowBlank="1" showInputMessage="1" showErrorMessage="1" sqref="E2:E1173 E1182:E1214" xr:uid="{D0A2F03A-F821-4287-80DE-873E268BD1C1}">
      <formula1>"Übersetzung,Lektorat"</formula1>
    </dataValidation>
    <dataValidation type="list" allowBlank="1" showInputMessage="1" showErrorMessage="1" sqref="T3:T1173" xr:uid="{495D0A0E-7E16-41BC-9328-EE4DC32E4186}">
      <formula1>"geliefert, NICHT ausgescheckt, ausgescheckt, importiert, hochgeladen"</formula1>
    </dataValidation>
    <dataValidation type="list" allowBlank="1" showInputMessage="1" showErrorMessage="1" sqref="J2:J575 J579:J606 J610:J641 J645:J661 J665:J778 J782:J1170 J1182:J1205" xr:uid="{6E08BC08-6C04-4ECA-9EA0-271E109F451D}">
      <formula1>"jazz,LS-Tracker,E-Mail,Sonstiges"</formula1>
    </dataValidation>
    <dataValidation type="list" allowBlank="1" showInputMessage="1" showErrorMessage="1" sqref="S2:S1140 S1182:S1205" xr:uid="{03DEE0B4-9196-4557-87B5-A3F3F7490BDD}">
      <formula1>"MSI, FSC, LBO, HME"</formula1>
    </dataValidation>
    <dataValidation type="list" allowBlank="1" showInputMessage="1" showErrorMessage="1" sqref="F2:F1205 G1177:G1205 H928:H1205 H3:H6 H8:H57 H59:H70 H72:H83 H85:H92 H94:H109 H112:H113 H115:H125 H127:H148 H150:H154 H156:H170 H172:H173 H175:H193 H195:H203 H205:H209 H211:H217 H220:H221 H223 H225:H276 H278:H343 H346:H396 H398 H400:H432 H434:H439 H441:H455 H457:H463 H465 H467 H469:H472 H474:H480 H482:H487 H489:H506 H508:H531 H533:H537 H539 H541 H543:H551 H553:H580 H582:H606 H608:H619 H621:H663 H665:H695 H697:H723 H726:H727 H731:H758 H760 H763:H775 H779:H807 H810:H826 H830:H887 H889:H901 H903 H905:H922 H925 I1149:I1205" xr:uid="{F24B390B-8613-47F8-8CEC-AEAFB8F7F844}">
      <formula1>"DE,EN,IT,ES,FR,NL,PL,SL,DA,FI,NO,SV,PT,HR,Other"</formula1>
    </dataValidation>
    <dataValidation showInputMessage="1" showErrorMessage="1" sqref="G2:I2 G3:G1176 I3:I1148" xr:uid="{531611C9-F1E3-4355-96EC-FA3311DE5A5F}"/>
  </dataValidations>
  <hyperlinks>
    <hyperlink ref="B495" r:id="rId1" xr:uid="{3549A0BF-2D8A-4337-88D3-B82789F26AFC}"/>
    <hyperlink ref="B496" r:id="rId2" xr:uid="{738DE313-A737-4F1A-99B0-6A083447ADEB}"/>
    <hyperlink ref="B497" r:id="rId3" xr:uid="{6F3369D7-D244-4483-86BC-0E06615FE460}"/>
    <hyperlink ref="B498" r:id="rId4" xr:uid="{5E7EABCA-BD92-4561-8672-53491D122553}"/>
    <hyperlink ref="B499" r:id="rId5" xr:uid="{6C1340E8-DDA6-49AC-8475-8A73EF1411AF}"/>
    <hyperlink ref="B619" r:id="rId6" xr:uid="{36894D4A-D460-4494-86A4-A51F61C416B4}"/>
    <hyperlink ref="B620" r:id="rId7" xr:uid="{433FAF37-6ABC-4D6B-A1D8-2E389C049FA7}"/>
    <hyperlink ref="B621" r:id="rId8" xr:uid="{9F73A12C-14A6-4001-AE84-2FAFAF5989EE}"/>
    <hyperlink ref="B622" r:id="rId9" xr:uid="{ED0E191B-7570-49CD-A45F-2D1C1EFEF124}"/>
    <hyperlink ref="B623:B626" r:id="rId10" display="Neue Hinweise in E-Mail Footer.docx" xr:uid="{BA196F2C-8278-46D7-8901-1F75C099DDF1}"/>
    <hyperlink ref="B642" r:id="rId11" location="comment-16494" xr:uid="{C196B546-0291-4AA0-82E1-B14329E437FD}"/>
    <hyperlink ref="B643" r:id="rId12" location="comment-16494" xr:uid="{E16EB168-80BF-4A31-A43F-DB10DAE0E9D4}"/>
    <hyperlink ref="B609" r:id="rId13" xr:uid="{5C4CB652-3C10-4ECA-8195-E2A1D12848C7}"/>
    <hyperlink ref="B610" r:id="rId14" xr:uid="{842202EC-F721-4498-8DAE-13E9595C09C8}"/>
    <hyperlink ref="B611:B613" r:id="rId15" display="Hinweistext bei Anmeldung zum Newsletter.docx" xr:uid="{AE29D2BE-E3DF-4A0D-AB33-F50866EA940D}"/>
    <hyperlink ref="B662" r:id="rId16" xr:uid="{523F3A80-9340-4D45-9E9D-BEA4D53A54B4}"/>
    <hyperlink ref="B663" r:id="rId17" xr:uid="{9613ED80-8EBC-4E8A-BCBD-B39A650598D2}"/>
    <hyperlink ref="B664" r:id="rId18" location="comment-16521" xr:uid="{0FD4F1A7-63EB-4360-A6EE-2C4727B85871}"/>
    <hyperlink ref="B665" r:id="rId19" location="comment-16521" xr:uid="{5BA6DC24-F447-4FB6-A609-645864163828}"/>
    <hyperlink ref="B676" r:id="rId20" location="comment-16538" xr:uid="{5C52DFDB-E808-445C-A2E4-4393DFBF1DA8}"/>
    <hyperlink ref="B677:B680" r:id="rId21" location="comment-16538" display="translations-[Sprache]-PRODUCT.json" xr:uid="{BE5D7307-1CA5-4299-91B5-EF62C0234D3F}"/>
    <hyperlink ref="B681" r:id="rId22" location="comment-16538" xr:uid="{967119F2-4FD6-44B7-9826-9CCC64C6B6F9}"/>
    <hyperlink ref="B682:B685" r:id="rId23" location="comment-16538" display="translations-[Sprache]-METAFIELD.json" xr:uid="{F3664BF9-549C-48D9-8D18-ADAF3D3E2BA0}"/>
    <hyperlink ref="B686" r:id="rId24" location="comment-16538" xr:uid="{786C9680-A084-4F47-9034-BEB0A1B2D827}"/>
    <hyperlink ref="B687:B690" r:id="rId25" location="comment-16538" display="PDP_7682_7632-translations-[Sprache]-METAOBJECT.json" xr:uid="{0BA092D0-FF6F-40D1-9EA2-68FBCEFBEB2F}"/>
    <hyperlink ref="B691" r:id="rId26" location="comment-16538" xr:uid="{FA513D2F-93DE-4893-A73A-BC3809F70DA4}"/>
    <hyperlink ref="B692:B695" r:id="rId27" location="comment-16538" display="PDP_7682_7632-translations-[Sprache]-ONLINE_STORE_THEME.json" xr:uid="{9EA29F39-6A84-4F84-8FD2-B3E829FFD5B0}"/>
    <hyperlink ref="B614" r:id="rId28" xr:uid="{6E843B42-79FC-40C0-AF8D-395166C9596C}"/>
    <hyperlink ref="B615:B618" r:id="rId29" display="Translations_Easter-Spring Deals_Banner_de.docx" xr:uid="{DDCACFB2-371E-4F04-9856-76BA2B149C4E}"/>
    <hyperlink ref="B696" r:id="rId30" xr:uid="{5FAD8231-9E95-4E62-B08A-11968B3C3407}"/>
    <hyperlink ref="B697" r:id="rId31" xr:uid="{BAEB8054-42FB-4B28-8C08-75DB535CCECE}"/>
    <hyperlink ref="B728" r:id="rId32" xr:uid="{72E83AA3-AE7C-4217-88B0-A613DDEDE8FB}"/>
    <hyperlink ref="B729" r:id="rId33" xr:uid="{DD062372-A4DB-4000-8B83-47C029378EC5}"/>
    <hyperlink ref="B730" r:id="rId34" xr:uid="{9A4C2143-1228-4EEA-A205-E5EA570FB6D6}"/>
    <hyperlink ref="B731" r:id="rId35" xr:uid="{1BF33764-1A91-46E4-8C20-FC0EE601DCDC}"/>
    <hyperlink ref="B732" r:id="rId36" xr:uid="{6D6F4CE0-B9FF-4C06-BE23-DB50BFAAAE39}"/>
    <hyperlink ref="B733" r:id="rId37" xr:uid="{96D2A4BF-4AC2-4B95-8BCC-E0E38F796A9E}"/>
    <hyperlink ref="B734" r:id="rId38" xr:uid="{C2B658D8-0125-4E5E-9675-2607EFF2EB88}"/>
    <hyperlink ref="B735:B737" r:id="rId39" display="Übersetzung Automail Oster-Gewinnspiel.docx" xr:uid="{C13673E7-A933-486D-83E5-1AC015E759BA}"/>
    <hyperlink ref="B760" r:id="rId40" xr:uid="{E767B08E-9BF1-488B-84D6-190F4851F6F9}"/>
    <hyperlink ref="B759" r:id="rId41" xr:uid="{9E8D02C2-3786-4D62-96C1-37F0BA24A46E}"/>
    <hyperlink ref="B761" r:id="rId42" xr:uid="{879F941D-A786-4B7C-AB5B-44C343B6C946}"/>
    <hyperlink ref="B762" r:id="rId43" xr:uid="{F7BB014E-7283-482B-A349-1BA4F1BBCC5C}"/>
    <hyperlink ref="B765" r:id="rId44" xr:uid="{8061EC4D-BC04-4E16-AA4F-2321ADEC7F73}"/>
    <hyperlink ref="B766:B768" r:id="rId45" display="CTA und Sternchentext_Oster Gewinnspiel.docx" xr:uid="{C74AD4FC-CA72-4F50-BA98-48C4B2FC2EFC}"/>
    <hyperlink ref="B769" r:id="rId46" display="Teilnahmebedingungen FRITZ! Oster Wimmelbild Gewinnspiel_fsh_TGO.docx" xr:uid="{1C459EC3-725B-4041-B795-F8E6E8AF4111}"/>
    <hyperlink ref="B770:B772" r:id="rId47" display="Teilnahmebedingungen FRITZ! Oster Wimmelbild Gewinnspiel_fsh_TGO.docx" xr:uid="{5876BB97-59BB-4D7F-9C77-8592B4E813C9}"/>
    <hyperlink ref="B785" r:id="rId48" xr:uid="{257D1331-D0FC-4C56-9948-DD882780B14D}"/>
    <hyperlink ref="B786:B789" r:id="rId49" display="Versand-Timeline_Service-Box-translations-[Sprache]-ONLINE_STORE_THEME.json" xr:uid="{3869102F-034E-4910-8FE4-66A5386D3919}"/>
    <hyperlink ref="B790" r:id="rId50" xr:uid="{87CF112A-C124-4447-9A4B-3E11B9CBA66A}"/>
    <hyperlink ref="B791" r:id="rId51" xr:uid="{BFCAD48F-F24B-4035-983B-70AD4B4A24AA}"/>
    <hyperlink ref="B792:B795" r:id="rId52" display="2 UWG-Hinweise in Forms-App.docx" xr:uid="{DF5DD263-A21F-4C71-A35C-9E5AEB3CF084}"/>
    <hyperlink ref="B796" r:id="rId53" xr:uid="{140CF8D5-0A86-4E9A-A031-9479F23CAAF8}"/>
    <hyperlink ref="B797" r:id="rId54" xr:uid="{1198A4C3-2E6A-4E2C-8C69-5A4F377202CC}"/>
    <hyperlink ref="B798" r:id="rId55" xr:uid="{DE94F2CF-BC10-4C6B-BB76-4C8A3C8A2225}"/>
    <hyperlink ref="B799" r:id="rId56" xr:uid="{6A0C6E6B-B55B-45FC-B2E8-3F6CA3CE035E}"/>
    <hyperlink ref="B800" r:id="rId57" xr:uid="{EDAD10FA-42BD-4A5C-A694-EADA9AC44680}"/>
    <hyperlink ref="B801" r:id="rId58" xr:uid="{9A64BC10-62C9-4230-A5D0-71E8D26DE8D3}"/>
    <hyperlink ref="B802" r:id="rId59" xr:uid="{30551704-E3BF-4F61-8DC1-F0B1FAF79D98}"/>
    <hyperlink ref="B803" r:id="rId60" xr:uid="{EC85C128-93C1-4B41-A10A-6F51341B551A}"/>
    <hyperlink ref="B804" r:id="rId61" xr:uid="{54F9E096-8BF0-4B16-83AF-36EAE8B6027E}"/>
    <hyperlink ref="B805" r:id="rId62" xr:uid="{6FD1388D-06BB-4CDE-9B02-9BB08D6A69A7}"/>
    <hyperlink ref="B806" r:id="rId63" xr:uid="{51A9853D-D86E-4598-9402-ABB1D4797E6F}"/>
    <hyperlink ref="B807" r:id="rId64" xr:uid="{95B66D5A-F267-4B1B-BC6D-7FEB0F12D365}"/>
    <hyperlink ref="B825" r:id="rId65" display="https://supportnews.info/language-services/vertrieb/it-%C3%BCbersetzung-business-update-m%C3%A4rz-r177/" xr:uid="{A2A4AECC-3CA6-47C8-8E0D-CFBD295F43FD}"/>
    <hyperlink ref="B826" r:id="rId66" display="https://supportnews.info/language-services/vertrieb/es-%C3%BCbersetzung-business-update-m%C3%A4rz-r178/ES: Übersetzung Business Update März" xr:uid="{8B8E453B-03FD-4DBB-A398-721ACFAAE5CD}"/>
    <hyperlink ref="B827" r:id="rId67" xr:uid="{A0A89835-235B-4BE7-A663-8F4B9A46096F}"/>
    <hyperlink ref="B828" r:id="rId68" xr:uid="{AE6C0243-5174-4315-AEC3-10380BBB6F47}"/>
    <hyperlink ref="B829" r:id="rId69" xr:uid="{B61D023E-48B7-43D8-A080-3B9C9B0A0975}"/>
    <hyperlink ref="B835" r:id="rId70" xr:uid="{39B89367-9526-44B9-9FB8-C5A76BAF90D2}"/>
    <hyperlink ref="B834" r:id="rId71" xr:uid="{EDD754DB-DD29-45EA-97D7-8E58C9B33F2D}"/>
    <hyperlink ref="B833" r:id="rId72" xr:uid="{BF3D09A8-6F6C-470D-9331-A3A2562A283A}"/>
    <hyperlink ref="B832" r:id="rId73" xr:uid="{8EDE2CCD-7F39-4B51-8218-E29882F838D2}"/>
    <hyperlink ref="B831" r:id="rId74" display="Ankuendigung_FRITZ!Box 7630_Edition_International_DE_korrigiert.docx" xr:uid="{60D5BEF8-F446-40CF-8E12-6846B06DE7D0}"/>
    <hyperlink ref="B779" r:id="rId75" xr:uid="{899EAA85-29DD-4681-8965-B4894ED0A2E6}"/>
    <hyperlink ref="B780" r:id="rId76" xr:uid="{DD1FF755-FAE6-47A7-A003-4846268DB6D2}"/>
    <hyperlink ref="B781" r:id="rId77" xr:uid="{AC665B65-3BE7-4B84-892C-0BC25618CE9C}"/>
    <hyperlink ref="B822" r:id="rId78" xr:uid="{536DAE2F-0547-4667-92A8-B88AD0809AB1}"/>
    <hyperlink ref="B823" r:id="rId79" xr:uid="{1E9308AC-3F53-4803-A4F0-EFE5322E21C8}"/>
    <hyperlink ref="B824" r:id="rId80" xr:uid="{59708736-D4CA-45D7-ABD5-1459AFDE360D}"/>
    <hyperlink ref="B888" r:id="rId81" xr:uid="{F2DDBDCE-FF13-4936-807C-B260572FA279}"/>
    <hyperlink ref="B889" r:id="rId82" xr:uid="{77691D4A-9B14-4CCC-A3B3-2206D265AD54}"/>
    <hyperlink ref="B849" r:id="rId83" location="comment-16819" xr:uid="{ED6E4345-EC09-4B02-927A-BE74732B3FB3}"/>
    <hyperlink ref="B850" r:id="rId84" location="comment-16819" xr:uid="{B66A3AEF-F8BB-433E-B488-D015047A7C78}"/>
    <hyperlink ref="B851" r:id="rId85" location="comment-16819" xr:uid="{B7C4C5FD-67D9-4F59-96BA-8C3C7B5B3C47}"/>
    <hyperlink ref="B852" r:id="rId86" location="comment-16819" xr:uid="{07A1931F-9137-43F0-8A66-07A749A0DCB3}"/>
    <hyperlink ref="B853" r:id="rId87" location="comment-16819" xr:uid="{32AD1709-3170-401C-AB48-ED375B349354}"/>
    <hyperlink ref="B854" r:id="rId88" location="comment-16819" xr:uid="{DDF542F3-217E-4DAE-BF7A-E2F725ED621D}"/>
    <hyperlink ref="B855" r:id="rId89" xr:uid="{62CCC745-8841-478C-9A89-554631949BBC}"/>
    <hyperlink ref="B856" r:id="rId90" xr:uid="{987710B8-ADBA-4826-BB90-22C2FDFB9F4A}"/>
    <hyperlink ref="B857" r:id="rId91" xr:uid="{D7E378AA-7269-412C-A7D4-E4BE4B763C6A}"/>
    <hyperlink ref="B858" r:id="rId92" xr:uid="{2C17970E-DF03-4BAE-8D51-1CCEA649A8D6}"/>
    <hyperlink ref="B830" r:id="rId93" display="Ankuendigung_FRITZ!Box 7630_Edition_International_DE_korrigiert.docx" xr:uid="{D2EC6A1A-2F88-498E-93E2-C27EF92F58F1}"/>
    <hyperlink ref="B879" r:id="rId94" location="comment-16905" xr:uid="{8B9473CE-9172-4FD3-9291-2EA7196E10E4}"/>
    <hyperlink ref="B880" r:id="rId95" xr:uid="{3B1746A8-A0B0-4A9F-8C75-C586B5A61AAB}"/>
    <hyperlink ref="B881" r:id="rId96" xr:uid="{F4D6C497-B56C-4BAE-A36E-8A9AF84283DE}"/>
    <hyperlink ref="B882" r:id="rId97" xr:uid="{0BF25867-D9E0-4415-976B-825C564DD86D}"/>
    <hyperlink ref="B883" r:id="rId98" xr:uid="{19FE4162-1965-4930-B274-4452CC467245}"/>
    <hyperlink ref="B884" r:id="rId99" xr:uid="{2CF8C8EB-29D5-478E-93EC-7C81A04F92A0}"/>
    <hyperlink ref="B885" r:id="rId100" xr:uid="{A7E84E86-C140-4ADB-9096-74863DD895D3}"/>
    <hyperlink ref="B886" r:id="rId101" xr:uid="{C516BE70-3548-4C54-968C-19CB27E1C046}"/>
    <hyperlink ref="B887" r:id="rId102" location="comment-16908" xr:uid="{D3B40890-4D9A-45E5-9D71-BF2306985F41}"/>
    <hyperlink ref="B890" r:id="rId103" xr:uid="{24322AE6-6ACD-4F70-A1B9-04E4E0CE4337}"/>
    <hyperlink ref="B891" r:id="rId104" xr:uid="{66E52477-2B6D-4236-B23F-B717FC1F515A}"/>
    <hyperlink ref="B892" r:id="rId105" location="comment-16905" xr:uid="{76EDA133-045F-42CC-A762-600156CDEFB7}"/>
    <hyperlink ref="B897" r:id="rId106" xr:uid="{44D1267D-88CA-4CB1-8F30-1BAD93098049}"/>
    <hyperlink ref="B898" r:id="rId107" xr:uid="{2E8F00BE-1241-4206-AAAB-EC21A0FBC0FF}"/>
    <hyperlink ref="B899" r:id="rId108" xr:uid="{6014D6A7-43A5-46DE-8C7A-5B77AA8AE19F}"/>
    <hyperlink ref="B900" r:id="rId109" xr:uid="{B99265FA-1CDF-4F25-891D-EB351744FA89}"/>
    <hyperlink ref="B901" r:id="rId110" xr:uid="{8721F81C-1330-4FE3-B786-0ED883A52EC2}"/>
    <hyperlink ref="B902" r:id="rId111" display="2026-03-24T18-37-25_PM-History-Texts.xml" xr:uid="{F3629B3A-9A56-428F-B4C4-03DC6876626C}"/>
    <hyperlink ref="B904" r:id="rId112" xr:uid="{F2ABB362-FA31-4CFD-A775-C23BE5B24E4D}"/>
    <hyperlink ref="B905" r:id="rId113" xr:uid="{368439D4-5EDE-408E-8F97-A3285E765B7A}"/>
    <hyperlink ref="B903" r:id="rId114" display="2026-03-24T18-37-25_PM-History-Texts.xml" xr:uid="{5A27DF8B-6FEA-4388-856D-C01AD17CA9FC}"/>
    <hyperlink ref="B911" r:id="rId115" xr:uid="{D41C3F25-6C5F-4955-8BCF-C53C70C8B49E}"/>
    <hyperlink ref="B912" r:id="rId116" xr:uid="{902D9849-02E1-452E-8036-71C4C401A12B}"/>
    <hyperlink ref="B913" r:id="rId117" xr:uid="{DD89B522-CFC8-4E32-A2FD-53B3186C2264}"/>
    <hyperlink ref="B914:B915" r:id="rId118" display="PSP_6700-translations-[Sprache]-ONLINE_STORE_THEME.json" xr:uid="{E59CC5C1-9F25-40FA-8242-2ECCEE2C877C}"/>
    <hyperlink ref="B921" r:id="rId119" display="https://supportnews.info/language-services/vertrieb/nl-newsletter-april-r201/" xr:uid="{648A8E64-75EC-4F0E-ADE1-04643406A3A5}"/>
    <hyperlink ref="B922" r:id="rId120" xr:uid="{02809EF2-0840-4CC4-95B8-B3A14E9E0F84}"/>
    <hyperlink ref="B925" r:id="rId121" xr:uid="{A43F1C87-509D-4299-A86D-EB506F55BEB3}"/>
    <hyperlink ref="B926" r:id="rId122" xr:uid="{D3B392F1-55F8-4AE1-BE12-39F60F936436}"/>
    <hyperlink ref="B927" r:id="rId123" xr:uid="{646A6CC0-90A6-4E3D-AA5F-E21A75CEA201}"/>
    <hyperlink ref="B928" r:id="rId124" xr:uid="{86596FEF-DA66-4020-ADAA-3915465CD2E2}"/>
    <hyperlink ref="B929" r:id="rId125" xr:uid="{95D3F445-D74C-46AD-A9E6-92BD731A1BF6}"/>
    <hyperlink ref="B923" r:id="rId126" tooltip="https://fritz.com/service/wissensdatenbank/dok/FRITZ-Repeater-2400/3490_FRITZ-Repeater-manuell-per-WLAN-mit-FRITZ-Heimnetz-verbinden/" display="AT Lektorat Business Update April" xr:uid="{9494D1D5-69B7-412E-9210-026AB7232ADB}"/>
    <hyperlink ref="B924" r:id="rId127" xr:uid="{B9785FA9-8F6B-4A07-9544-6148A04E4EE4}"/>
    <hyperlink ref="B935" r:id="rId128" xr:uid="{D767FEE0-138C-4189-8946-AA2BAFEC6BDD}"/>
    <hyperlink ref="B936" r:id="rId129" xr:uid="{22D0AF70-F383-48AE-835D-06CC09CC2BB5}"/>
    <hyperlink ref="B937" r:id="rId130" xr:uid="{78AF5C05-FA51-4DCF-8962-2DE6CD47BD51}"/>
    <hyperlink ref="B938" r:id="rId131" xr:uid="{89FDE820-7386-431D-B266-270192248F67}"/>
    <hyperlink ref="B939" r:id="rId132" xr:uid="{5F8E2BE1-C2CF-4F19-95CD-B76A8746C3AB}"/>
    <hyperlink ref="B940" r:id="rId133" xr:uid="{E70DAC5F-7AB6-49A8-B800-0D9459237F5F}"/>
    <hyperlink ref="B941:B944" r:id="rId134" display="translations-[Sprache]-METAFIELD.json" xr:uid="{F143E530-710B-4FBB-95BC-D87164FF9301}"/>
    <hyperlink ref="B945" r:id="rId135" xr:uid="{1E047D96-69F2-46EA-B251-FF496170D496}"/>
    <hyperlink ref="B946:B949" r:id="rId136" display="PDP_6700-translations-[Sprache]-ONLINE_STORE_THEME.json" xr:uid="{25CF2736-ED84-4F41-8A1F-B5FF8F325300}"/>
    <hyperlink ref="B950" r:id="rId137" xr:uid="{8DA6FD92-4366-4302-8AD1-330B3379105A}"/>
    <hyperlink ref="B951:B954" r:id="rId138" display="PSPs_6690_5630_5630XGS-translations-[Sprache]-ONLINE_STORE_THEME.json" xr:uid="{B3480D32-6663-4EE0-8379-B7D4EF09FEAB}"/>
    <hyperlink ref="B969" r:id="rId139" xr:uid="{5C05A037-5387-446D-B527-75B5C8B041C9}"/>
    <hyperlink ref="B970" r:id="rId140" xr:uid="{5B2B077F-E37E-488B-AC14-20D35FBE3B22}"/>
    <hyperlink ref="B971" r:id="rId141" xr:uid="{EE88A539-919E-4730-B695-94D047E94582}"/>
    <hyperlink ref="B972" r:id="rId142" xr:uid="{F7F16AF7-9974-4E8D-A9D9-10B8DBB104A3}"/>
    <hyperlink ref="B973" r:id="rId143" xr:uid="{0CA57C54-CF8E-4C5E-9148-36DBC608EEB5}"/>
    <hyperlink ref="B930" r:id="rId144" xr:uid="{10B2E471-CD29-4E48-9D09-9358C78A671B}"/>
    <hyperlink ref="B931:B934" r:id="rId145" display="Form FRITZ! Shop.docx" xr:uid="{81079418-8294-48FE-98A3-B6387812BEA7}"/>
    <hyperlink ref="B974" r:id="rId146" xr:uid="{39D7CC0C-2EBD-42AB-930D-8064549CB013}"/>
    <hyperlink ref="B975" r:id="rId147" xr:uid="{5687FD69-C087-4523-8F5C-4A9766158157}"/>
    <hyperlink ref="B976" r:id="rId148" xr:uid="{81C0C61E-01C4-42EA-BB54-00BB8A172B83}"/>
    <hyperlink ref="B977:B980" r:id="rId149" display="5690 Banner - Übersetzung.docx" xr:uid="{AD0C26FA-1D9E-46C3-99D7-FC07BEEE72D8}"/>
    <hyperlink ref="B981" r:id="rId150" xr:uid="{DB3E0B95-99A3-466C-8236-E9A6951EC7CA}"/>
    <hyperlink ref="B982" r:id="rId151" xr:uid="{5F4A7781-EC2C-4131-82BE-98935BDA2E0B}"/>
    <hyperlink ref="B983:B986" r:id="rId152" display="Blog_FRITZ!_glänzt-translations-[Sprache]-ARTICLE.json" xr:uid="{DAC919C4-CAC5-4091-A394-331283294376}"/>
    <hyperlink ref="B987" r:id="rId153" xr:uid="{6CB266CD-18B8-44E8-8234-E8299A348231}"/>
    <hyperlink ref="B988:B991" r:id="rId154" display="Blog_FRITZ!_glänzt-translations-[Sprache]-ONLINE_STORE_THEME.json" xr:uid="{41F82AA8-2C85-4B35-BB8E-14080BB932A4}"/>
    <hyperlink ref="U762" r:id="rId155" xr:uid="{F513F666-CDE2-4412-9F7E-D79C11F4B76B}"/>
    <hyperlink ref="U761" r:id="rId156" xr:uid="{1A3C6324-AB02-455F-8EB1-76C230EF7331}"/>
    <hyperlink ref="K111" r:id="rId157" location="action=com.ibm.team.workitem.viewWorkItem&amp;id=153423" display="https://jazz.avm.de/ccm/web/projects/AVM-Entwicklung - action=com.ibm.team.workitem.viewWorkItem&amp;id=153423" xr:uid="{8FA848B4-41D3-4CA1-83A3-288F8B959E8E}"/>
    <hyperlink ref="B1206" r:id="rId158" xr:uid="{F1A1816C-EEE2-493E-9D54-B0BCCB955DF0}"/>
    <hyperlink ref="B1207" r:id="rId159" xr:uid="{605C6208-0D4A-4AB6-8754-877F860B9920}"/>
  </hyperlinks>
  <pageMargins left="0.7" right="0.7" top="0.78740157499999996" bottom="0.78740157499999996" header="0.3" footer="0.3"/>
  <pageSetup paperSize="9" orientation="portrait" r:id="rId160"/>
  <drawing r:id="rId161"/>
  <legacyDrawing r:id="rId16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87FDF-33DB-4780-917F-CC2B53E55E66}">
  <dimension ref="A1:B124"/>
  <sheetViews>
    <sheetView topLeftCell="A61" workbookViewId="0">
      <selection activeCell="B97" sqref="B97"/>
    </sheetView>
  </sheetViews>
  <sheetFormatPr baseColWidth="10" defaultRowHeight="15" x14ac:dyDescent="0.25"/>
  <sheetData>
    <row r="1" spans="1:2" x14ac:dyDescent="0.25">
      <c r="A1" t="s">
        <v>494</v>
      </c>
      <c r="B1" t="s">
        <v>700</v>
      </c>
    </row>
    <row r="2" spans="1:2" x14ac:dyDescent="0.25">
      <c r="A2" t="s">
        <v>485</v>
      </c>
      <c r="B2" t="s">
        <v>701</v>
      </c>
    </row>
    <row r="3" spans="1:2" x14ac:dyDescent="0.25">
      <c r="A3" t="s">
        <v>507</v>
      </c>
      <c r="B3" t="s">
        <v>702</v>
      </c>
    </row>
    <row r="4" spans="1:2" x14ac:dyDescent="0.25">
      <c r="A4" t="s">
        <v>703</v>
      </c>
      <c r="B4" t="s">
        <v>704</v>
      </c>
    </row>
    <row r="5" spans="1:2" x14ac:dyDescent="0.25">
      <c r="A5" t="s">
        <v>492</v>
      </c>
      <c r="B5" t="s">
        <v>705</v>
      </c>
    </row>
    <row r="6" spans="1:2" x14ac:dyDescent="0.25">
      <c r="A6" t="s">
        <v>706</v>
      </c>
      <c r="B6" t="s">
        <v>707</v>
      </c>
    </row>
    <row r="7" spans="1:2" x14ac:dyDescent="0.25">
      <c r="A7" t="s">
        <v>502</v>
      </c>
      <c r="B7" t="s">
        <v>708</v>
      </c>
    </row>
    <row r="8" spans="1:2" x14ac:dyDescent="0.25">
      <c r="A8" t="s">
        <v>709</v>
      </c>
      <c r="B8" t="s">
        <v>710</v>
      </c>
    </row>
    <row r="9" spans="1:2" x14ac:dyDescent="0.25">
      <c r="A9" t="s">
        <v>488</v>
      </c>
      <c r="B9" t="s">
        <v>711</v>
      </c>
    </row>
    <row r="10" spans="1:2" x14ac:dyDescent="0.25">
      <c r="A10" t="s">
        <v>712</v>
      </c>
      <c r="B10" t="s">
        <v>713</v>
      </c>
    </row>
    <row r="11" spans="1:2" x14ac:dyDescent="0.25">
      <c r="A11" t="s">
        <v>714</v>
      </c>
      <c r="B11" t="s">
        <v>715</v>
      </c>
    </row>
    <row r="12" spans="1:2" x14ac:dyDescent="0.25">
      <c r="A12" t="s">
        <v>482</v>
      </c>
      <c r="B12" t="s">
        <v>702</v>
      </c>
    </row>
    <row r="13" spans="1:2" x14ac:dyDescent="0.25">
      <c r="A13" t="s">
        <v>716</v>
      </c>
      <c r="B13" t="s">
        <v>717</v>
      </c>
    </row>
    <row r="14" spans="1:2" x14ac:dyDescent="0.25">
      <c r="A14" t="s">
        <v>480</v>
      </c>
      <c r="B14" t="s">
        <v>711</v>
      </c>
    </row>
    <row r="15" spans="1:2" x14ac:dyDescent="0.25">
      <c r="A15" t="s">
        <v>718</v>
      </c>
      <c r="B15" t="s">
        <v>719</v>
      </c>
    </row>
    <row r="16" spans="1:2" x14ac:dyDescent="0.25">
      <c r="A16" t="s">
        <v>720</v>
      </c>
      <c r="B16" t="s">
        <v>721</v>
      </c>
    </row>
    <row r="17" spans="1:2" x14ac:dyDescent="0.25">
      <c r="A17" t="s">
        <v>520</v>
      </c>
      <c r="B17" t="s">
        <v>722</v>
      </c>
    </row>
    <row r="18" spans="1:2" x14ac:dyDescent="0.25">
      <c r="A18" t="s">
        <v>723</v>
      </c>
      <c r="B18" t="s">
        <v>717</v>
      </c>
    </row>
    <row r="19" spans="1:2" x14ac:dyDescent="0.25">
      <c r="A19" t="s">
        <v>724</v>
      </c>
      <c r="B19" t="s">
        <v>725</v>
      </c>
    </row>
    <row r="20" spans="1:2" x14ac:dyDescent="0.25">
      <c r="A20" t="s">
        <v>726</v>
      </c>
      <c r="B20" t="s">
        <v>727</v>
      </c>
    </row>
    <row r="21" spans="1:2" x14ac:dyDescent="0.25">
      <c r="A21" t="s">
        <v>728</v>
      </c>
      <c r="B21" t="s">
        <v>705</v>
      </c>
    </row>
    <row r="22" spans="1:2" x14ac:dyDescent="0.25">
      <c r="A22" t="s">
        <v>729</v>
      </c>
      <c r="B22" t="s">
        <v>717</v>
      </c>
    </row>
    <row r="23" spans="1:2" x14ac:dyDescent="0.25">
      <c r="A23" t="s">
        <v>730</v>
      </c>
      <c r="B23" t="s">
        <v>717</v>
      </c>
    </row>
    <row r="24" spans="1:2" x14ac:dyDescent="0.25">
      <c r="A24" t="s">
        <v>523</v>
      </c>
      <c r="B24" t="s">
        <v>731</v>
      </c>
    </row>
    <row r="25" spans="1:2" x14ac:dyDescent="0.25">
      <c r="A25" t="s">
        <v>732</v>
      </c>
      <c r="B25" t="s">
        <v>702</v>
      </c>
    </row>
    <row r="26" spans="1:2" x14ac:dyDescent="0.25">
      <c r="A26" t="s">
        <v>733</v>
      </c>
      <c r="B26" t="s">
        <v>734</v>
      </c>
    </row>
    <row r="27" spans="1:2" x14ac:dyDescent="0.25">
      <c r="A27" t="s">
        <v>735</v>
      </c>
      <c r="B27" t="s">
        <v>725</v>
      </c>
    </row>
    <row r="28" spans="1:2" x14ac:dyDescent="0.25">
      <c r="A28" t="s">
        <v>736</v>
      </c>
      <c r="B28" t="s">
        <v>887</v>
      </c>
    </row>
    <row r="29" spans="1:2" x14ac:dyDescent="0.25">
      <c r="A29" t="s">
        <v>737</v>
      </c>
      <c r="B29" t="s">
        <v>886</v>
      </c>
    </row>
    <row r="30" spans="1:2" x14ac:dyDescent="0.25">
      <c r="A30" t="s">
        <v>499</v>
      </c>
      <c r="B30" t="s">
        <v>738</v>
      </c>
    </row>
    <row r="31" spans="1:2" x14ac:dyDescent="0.25">
      <c r="A31" t="s">
        <v>739</v>
      </c>
      <c r="B31" t="s">
        <v>740</v>
      </c>
    </row>
    <row r="32" spans="1:2" x14ac:dyDescent="0.25">
      <c r="A32" t="s">
        <v>741</v>
      </c>
      <c r="B32" t="s">
        <v>708</v>
      </c>
    </row>
    <row r="33" spans="1:2" x14ac:dyDescent="0.25">
      <c r="A33" t="s">
        <v>742</v>
      </c>
      <c r="B33" t="s">
        <v>743</v>
      </c>
    </row>
    <row r="34" spans="1:2" x14ac:dyDescent="0.25">
      <c r="A34" t="s">
        <v>505</v>
      </c>
      <c r="B34" t="s">
        <v>744</v>
      </c>
    </row>
    <row r="35" spans="1:2" x14ac:dyDescent="0.25">
      <c r="A35" t="s">
        <v>745</v>
      </c>
      <c r="B35" t="s">
        <v>725</v>
      </c>
    </row>
    <row r="36" spans="1:2" x14ac:dyDescent="0.25">
      <c r="A36" t="s">
        <v>517</v>
      </c>
      <c r="B36" t="s">
        <v>702</v>
      </c>
    </row>
    <row r="37" spans="1:2" x14ac:dyDescent="0.25">
      <c r="A37" t="s">
        <v>746</v>
      </c>
      <c r="B37" t="s">
        <v>725</v>
      </c>
    </row>
    <row r="38" spans="1:2" x14ac:dyDescent="0.25">
      <c r="A38" t="s">
        <v>747</v>
      </c>
      <c r="B38" t="s">
        <v>748</v>
      </c>
    </row>
    <row r="39" spans="1:2" x14ac:dyDescent="0.25">
      <c r="A39" t="s">
        <v>472</v>
      </c>
      <c r="B39" t="s">
        <v>711</v>
      </c>
    </row>
    <row r="40" spans="1:2" x14ac:dyDescent="0.25">
      <c r="A40" t="s">
        <v>749</v>
      </c>
      <c r="B40" t="s">
        <v>725</v>
      </c>
    </row>
    <row r="41" spans="1:2" x14ac:dyDescent="0.25">
      <c r="A41" t="s">
        <v>750</v>
      </c>
      <c r="B41" t="s">
        <v>751</v>
      </c>
    </row>
    <row r="42" spans="1:2" x14ac:dyDescent="0.25">
      <c r="A42" t="s">
        <v>752</v>
      </c>
      <c r="B42" t="s">
        <v>700</v>
      </c>
    </row>
    <row r="43" spans="1:2" x14ac:dyDescent="0.25">
      <c r="A43" t="s">
        <v>753</v>
      </c>
      <c r="B43" t="s">
        <v>725</v>
      </c>
    </row>
    <row r="44" spans="1:2" x14ac:dyDescent="0.25">
      <c r="A44" t="s">
        <v>474</v>
      </c>
      <c r="B44" t="s">
        <v>754</v>
      </c>
    </row>
    <row r="45" spans="1:2" x14ac:dyDescent="0.25">
      <c r="A45" t="s">
        <v>755</v>
      </c>
      <c r="B45" t="s">
        <v>756</v>
      </c>
    </row>
    <row r="46" spans="1:2" x14ac:dyDescent="0.25">
      <c r="A46" t="s">
        <v>757</v>
      </c>
      <c r="B46" t="s">
        <v>758</v>
      </c>
    </row>
    <row r="47" spans="1:2" x14ac:dyDescent="0.25">
      <c r="A47" t="s">
        <v>515</v>
      </c>
      <c r="B47" t="s">
        <v>884</v>
      </c>
    </row>
    <row r="48" spans="1:2" x14ac:dyDescent="0.25">
      <c r="A48" t="s">
        <v>759</v>
      </c>
      <c r="B48" t="s">
        <v>701</v>
      </c>
    </row>
    <row r="49" spans="1:2" x14ac:dyDescent="0.25">
      <c r="A49" t="s">
        <v>467</v>
      </c>
      <c r="B49" t="s">
        <v>711</v>
      </c>
    </row>
    <row r="50" spans="1:2" x14ac:dyDescent="0.25">
      <c r="A50" t="s">
        <v>760</v>
      </c>
      <c r="B50" t="s">
        <v>761</v>
      </c>
    </row>
    <row r="51" spans="1:2" x14ac:dyDescent="0.25">
      <c r="A51" t="s">
        <v>762</v>
      </c>
      <c r="B51" t="s">
        <v>763</v>
      </c>
    </row>
    <row r="52" spans="1:2" x14ac:dyDescent="0.25">
      <c r="A52" t="s">
        <v>764</v>
      </c>
      <c r="B52" t="s">
        <v>702</v>
      </c>
    </row>
    <row r="53" spans="1:2" x14ac:dyDescent="0.25">
      <c r="A53" t="s">
        <v>765</v>
      </c>
      <c r="B53" t="s">
        <v>722</v>
      </c>
    </row>
    <row r="54" spans="1:2" x14ac:dyDescent="0.25">
      <c r="A54" t="s">
        <v>512</v>
      </c>
      <c r="B54" t="s">
        <v>722</v>
      </c>
    </row>
    <row r="55" spans="1:2" x14ac:dyDescent="0.25">
      <c r="A55" t="s">
        <v>766</v>
      </c>
      <c r="B55" t="s">
        <v>763</v>
      </c>
    </row>
    <row r="56" spans="1:2" x14ac:dyDescent="0.25">
      <c r="A56" t="s">
        <v>464</v>
      </c>
      <c r="B56" t="s">
        <v>756</v>
      </c>
    </row>
    <row r="57" spans="1:2" x14ac:dyDescent="0.25">
      <c r="A57" t="s">
        <v>767</v>
      </c>
      <c r="B57" t="s">
        <v>705</v>
      </c>
    </row>
    <row r="58" spans="1:2" x14ac:dyDescent="0.25">
      <c r="A58" t="s">
        <v>475</v>
      </c>
      <c r="B58" t="s">
        <v>717</v>
      </c>
    </row>
    <row r="59" spans="1:2" x14ac:dyDescent="0.25">
      <c r="A59" t="s">
        <v>493</v>
      </c>
      <c r="B59" t="s">
        <v>768</v>
      </c>
    </row>
    <row r="60" spans="1:2" x14ac:dyDescent="0.25">
      <c r="A60" t="s">
        <v>478</v>
      </c>
      <c r="B60" t="s">
        <v>711</v>
      </c>
    </row>
    <row r="61" spans="1:2" x14ac:dyDescent="0.25">
      <c r="A61" t="s">
        <v>769</v>
      </c>
      <c r="B61" t="s">
        <v>756</v>
      </c>
    </row>
    <row r="62" spans="1:2" x14ac:dyDescent="0.25">
      <c r="A62" t="s">
        <v>524</v>
      </c>
      <c r="B62" t="s">
        <v>727</v>
      </c>
    </row>
    <row r="63" spans="1:2" x14ac:dyDescent="0.25">
      <c r="A63" t="s">
        <v>462</v>
      </c>
      <c r="B63" t="s">
        <v>717</v>
      </c>
    </row>
    <row r="64" spans="1:2" x14ac:dyDescent="0.25">
      <c r="A64" t="s">
        <v>770</v>
      </c>
      <c r="B64" t="s">
        <v>771</v>
      </c>
    </row>
    <row r="65" spans="1:2" x14ac:dyDescent="0.25">
      <c r="A65" t="s">
        <v>772</v>
      </c>
      <c r="B65" t="s">
        <v>705</v>
      </c>
    </row>
    <row r="66" spans="1:2" x14ac:dyDescent="0.25">
      <c r="A66" t="s">
        <v>773</v>
      </c>
      <c r="B66" s="12" t="s">
        <v>774</v>
      </c>
    </row>
    <row r="67" spans="1:2" x14ac:dyDescent="0.25">
      <c r="A67" t="s">
        <v>487</v>
      </c>
      <c r="B67" t="s">
        <v>775</v>
      </c>
    </row>
    <row r="68" spans="1:2" x14ac:dyDescent="0.25">
      <c r="A68" t="s">
        <v>776</v>
      </c>
      <c r="B68" t="s">
        <v>744</v>
      </c>
    </row>
    <row r="69" spans="1:2" x14ac:dyDescent="0.25">
      <c r="A69" t="s">
        <v>777</v>
      </c>
      <c r="B69" t="s">
        <v>744</v>
      </c>
    </row>
    <row r="70" spans="1:2" x14ac:dyDescent="0.25">
      <c r="A70" t="s">
        <v>778</v>
      </c>
      <c r="B70" t="s">
        <v>758</v>
      </c>
    </row>
    <row r="71" spans="1:2" x14ac:dyDescent="0.25">
      <c r="A71" t="s">
        <v>779</v>
      </c>
      <c r="B71" t="s">
        <v>705</v>
      </c>
    </row>
    <row r="72" spans="1:2" x14ac:dyDescent="0.25">
      <c r="A72" t="s">
        <v>491</v>
      </c>
      <c r="B72" t="s">
        <v>744</v>
      </c>
    </row>
    <row r="73" spans="1:2" x14ac:dyDescent="0.25">
      <c r="A73" t="s">
        <v>780</v>
      </c>
      <c r="B73" t="s">
        <v>725</v>
      </c>
    </row>
    <row r="74" spans="1:2" x14ac:dyDescent="0.25">
      <c r="A74" t="s">
        <v>781</v>
      </c>
      <c r="B74" t="s">
        <v>758</v>
      </c>
    </row>
    <row r="75" spans="1:2" x14ac:dyDescent="0.25">
      <c r="A75" t="s">
        <v>477</v>
      </c>
      <c r="B75" t="s">
        <v>782</v>
      </c>
    </row>
    <row r="76" spans="1:2" x14ac:dyDescent="0.25">
      <c r="A76" t="s">
        <v>486</v>
      </c>
      <c r="B76" t="s">
        <v>783</v>
      </c>
    </row>
    <row r="77" spans="1:2" x14ac:dyDescent="0.25">
      <c r="A77" t="s">
        <v>784</v>
      </c>
      <c r="B77" t="s">
        <v>785</v>
      </c>
    </row>
    <row r="78" spans="1:2" x14ac:dyDescent="0.25">
      <c r="A78" s="13" t="s">
        <v>470</v>
      </c>
      <c r="B78" t="s">
        <v>786</v>
      </c>
    </row>
    <row r="79" spans="1:2" x14ac:dyDescent="0.25">
      <c r="A79" t="s">
        <v>787</v>
      </c>
      <c r="B79" t="s">
        <v>717</v>
      </c>
    </row>
    <row r="80" spans="1:2" x14ac:dyDescent="0.25">
      <c r="A80" t="s">
        <v>788</v>
      </c>
      <c r="B80" t="s">
        <v>758</v>
      </c>
    </row>
    <row r="81" spans="1:2" x14ac:dyDescent="0.25">
      <c r="A81" t="s">
        <v>789</v>
      </c>
      <c r="B81" t="s">
        <v>790</v>
      </c>
    </row>
    <row r="82" spans="1:2" x14ac:dyDescent="0.25">
      <c r="A82" t="s">
        <v>791</v>
      </c>
      <c r="B82" t="s">
        <v>744</v>
      </c>
    </row>
    <row r="83" spans="1:2" x14ac:dyDescent="0.25">
      <c r="A83" t="s">
        <v>466</v>
      </c>
      <c r="B83" t="s">
        <v>701</v>
      </c>
    </row>
    <row r="84" spans="1:2" x14ac:dyDescent="0.25">
      <c r="A84" t="s">
        <v>792</v>
      </c>
      <c r="B84" t="s">
        <v>793</v>
      </c>
    </row>
    <row r="85" spans="1:2" x14ac:dyDescent="0.25">
      <c r="A85" t="s">
        <v>794</v>
      </c>
      <c r="B85" t="s">
        <v>711</v>
      </c>
    </row>
    <row r="86" spans="1:2" x14ac:dyDescent="0.25">
      <c r="A86" t="s">
        <v>795</v>
      </c>
      <c r="B86" t="s">
        <v>758</v>
      </c>
    </row>
    <row r="87" spans="1:2" x14ac:dyDescent="0.25">
      <c r="A87" t="s">
        <v>796</v>
      </c>
      <c r="B87" t="s">
        <v>797</v>
      </c>
    </row>
    <row r="88" spans="1:2" x14ac:dyDescent="0.25">
      <c r="A88" t="s">
        <v>798</v>
      </c>
      <c r="B88" t="s">
        <v>799</v>
      </c>
    </row>
    <row r="89" spans="1:2" x14ac:dyDescent="0.25">
      <c r="A89" t="s">
        <v>800</v>
      </c>
      <c r="B89" t="s">
        <v>756</v>
      </c>
    </row>
    <row r="90" spans="1:2" x14ac:dyDescent="0.25">
      <c r="A90" t="s">
        <v>511</v>
      </c>
      <c r="B90" t="s">
        <v>713</v>
      </c>
    </row>
    <row r="91" spans="1:2" x14ac:dyDescent="0.25">
      <c r="A91" t="s">
        <v>801</v>
      </c>
      <c r="B91" t="s">
        <v>802</v>
      </c>
    </row>
    <row r="92" spans="1:2" x14ac:dyDescent="0.25">
      <c r="A92" t="s">
        <v>803</v>
      </c>
      <c r="B92" t="s">
        <v>701</v>
      </c>
    </row>
    <row r="93" spans="1:2" x14ac:dyDescent="0.25">
      <c r="A93" t="s">
        <v>804</v>
      </c>
      <c r="B93" t="s">
        <v>805</v>
      </c>
    </row>
    <row r="94" spans="1:2" x14ac:dyDescent="0.25">
      <c r="A94" t="s">
        <v>806</v>
      </c>
      <c r="B94" t="s">
        <v>775</v>
      </c>
    </row>
    <row r="95" spans="1:2" x14ac:dyDescent="0.25">
      <c r="A95" t="s">
        <v>807</v>
      </c>
      <c r="B95" t="s">
        <v>808</v>
      </c>
    </row>
    <row r="96" spans="1:2" x14ac:dyDescent="0.25">
      <c r="A96" t="s">
        <v>809</v>
      </c>
      <c r="B96" t="s">
        <v>708</v>
      </c>
    </row>
    <row r="97" spans="1:2" x14ac:dyDescent="0.25">
      <c r="A97" t="s">
        <v>810</v>
      </c>
      <c r="B97" t="s">
        <v>775</v>
      </c>
    </row>
    <row r="98" spans="1:2" x14ac:dyDescent="0.25">
      <c r="A98" t="s">
        <v>811</v>
      </c>
      <c r="B98" t="s">
        <v>722</v>
      </c>
    </row>
    <row r="99" spans="1:2" x14ac:dyDescent="0.25">
      <c r="A99" t="s">
        <v>812</v>
      </c>
      <c r="B99" t="s">
        <v>708</v>
      </c>
    </row>
    <row r="100" spans="1:2" x14ac:dyDescent="0.25">
      <c r="A100" t="s">
        <v>813</v>
      </c>
      <c r="B100" t="s">
        <v>708</v>
      </c>
    </row>
    <row r="101" spans="1:2" x14ac:dyDescent="0.25">
      <c r="A101" t="s">
        <v>814</v>
      </c>
      <c r="B101" t="s">
        <v>885</v>
      </c>
    </row>
    <row r="102" spans="1:2" x14ac:dyDescent="0.25">
      <c r="A102" t="s">
        <v>815</v>
      </c>
      <c r="B102" t="s">
        <v>816</v>
      </c>
    </row>
    <row r="103" spans="1:2" x14ac:dyDescent="0.25">
      <c r="A103" t="s">
        <v>490</v>
      </c>
      <c r="B103" t="s">
        <v>756</v>
      </c>
    </row>
    <row r="104" spans="1:2" x14ac:dyDescent="0.25">
      <c r="A104" t="s">
        <v>473</v>
      </c>
      <c r="B104" t="s">
        <v>722</v>
      </c>
    </row>
    <row r="105" spans="1:2" x14ac:dyDescent="0.25">
      <c r="A105" t="s">
        <v>817</v>
      </c>
      <c r="B105" t="s">
        <v>886</v>
      </c>
    </row>
    <row r="106" spans="1:2" x14ac:dyDescent="0.25">
      <c r="A106" t="s">
        <v>818</v>
      </c>
      <c r="B106" t="s">
        <v>727</v>
      </c>
    </row>
    <row r="107" spans="1:2" x14ac:dyDescent="0.25">
      <c r="A107" t="s">
        <v>819</v>
      </c>
      <c r="B107" t="s">
        <v>722</v>
      </c>
    </row>
    <row r="108" spans="1:2" x14ac:dyDescent="0.25">
      <c r="A108" t="s">
        <v>460</v>
      </c>
      <c r="B108" t="s">
        <v>816</v>
      </c>
    </row>
    <row r="109" spans="1:2" x14ac:dyDescent="0.25">
      <c r="A109" t="s">
        <v>820</v>
      </c>
      <c r="B109" t="s">
        <v>768</v>
      </c>
    </row>
    <row r="110" spans="1:2" x14ac:dyDescent="0.25">
      <c r="A110" t="s">
        <v>821</v>
      </c>
      <c r="B110" t="s">
        <v>822</v>
      </c>
    </row>
    <row r="111" spans="1:2" x14ac:dyDescent="0.25">
      <c r="A111" t="s">
        <v>823</v>
      </c>
      <c r="B111" t="s">
        <v>768</v>
      </c>
    </row>
    <row r="112" spans="1:2" x14ac:dyDescent="0.25">
      <c r="A112" t="s">
        <v>824</v>
      </c>
      <c r="B112" t="s">
        <v>715</v>
      </c>
    </row>
    <row r="113" spans="1:2" x14ac:dyDescent="0.25">
      <c r="A113" t="s">
        <v>825</v>
      </c>
      <c r="B113" t="s">
        <v>721</v>
      </c>
    </row>
    <row r="114" spans="1:2" x14ac:dyDescent="0.25">
      <c r="A114" t="s">
        <v>826</v>
      </c>
      <c r="B114" t="s">
        <v>768</v>
      </c>
    </row>
    <row r="115" spans="1:2" x14ac:dyDescent="0.25">
      <c r="A115" t="s">
        <v>827</v>
      </c>
      <c r="B115" t="s">
        <v>725</v>
      </c>
    </row>
    <row r="116" spans="1:2" x14ac:dyDescent="0.25">
      <c r="A116" t="s">
        <v>496</v>
      </c>
      <c r="B116" t="s">
        <v>828</v>
      </c>
    </row>
    <row r="117" spans="1:2" x14ac:dyDescent="0.25">
      <c r="A117" t="s">
        <v>829</v>
      </c>
      <c r="B117" t="s">
        <v>830</v>
      </c>
    </row>
    <row r="118" spans="1:2" x14ac:dyDescent="0.25">
      <c r="A118" t="s">
        <v>831</v>
      </c>
      <c r="B118" t="s">
        <v>832</v>
      </c>
    </row>
    <row r="119" spans="1:2" x14ac:dyDescent="0.25">
      <c r="A119" t="s">
        <v>505</v>
      </c>
      <c r="B119" t="s">
        <v>744</v>
      </c>
    </row>
    <row r="120" spans="1:2" x14ac:dyDescent="0.25">
      <c r="A120" t="s">
        <v>517</v>
      </c>
      <c r="B120" t="s">
        <v>702</v>
      </c>
    </row>
    <row r="121" spans="1:2" ht="16.5" x14ac:dyDescent="0.3">
      <c r="A121" t="s">
        <v>518</v>
      </c>
      <c r="B121" s="14" t="s">
        <v>705</v>
      </c>
    </row>
    <row r="122" spans="1:2" x14ac:dyDescent="0.25">
      <c r="A122" t="s">
        <v>519</v>
      </c>
      <c r="B122" t="s">
        <v>751</v>
      </c>
    </row>
    <row r="123" spans="1:2" x14ac:dyDescent="0.25">
      <c r="A123" t="s">
        <v>522</v>
      </c>
      <c r="B123" t="s">
        <v>725</v>
      </c>
    </row>
    <row r="124" spans="1:2" x14ac:dyDescent="0.25">
      <c r="A124" t="s">
        <v>833</v>
      </c>
      <c r="B124" t="s">
        <v>705</v>
      </c>
    </row>
  </sheetData>
  <conditionalFormatting sqref="A20:A21">
    <cfRule type="expression" dxfId="5" priority="3" stopIfTrue="1">
      <formula>$H114&lt;&gt;""</formula>
    </cfRule>
  </conditionalFormatting>
  <conditionalFormatting sqref="A98">
    <cfRule type="expression" dxfId="4" priority="5" stopIfTrue="1">
      <formula>#REF!&lt;&gt;""</formula>
    </cfRule>
  </conditionalFormatting>
  <conditionalFormatting sqref="A99">
    <cfRule type="expression" dxfId="3" priority="6" stopIfTrue="1">
      <formula>$H114&lt;&gt;""</formula>
    </cfRule>
  </conditionalFormatting>
  <conditionalFormatting sqref="A104">
    <cfRule type="expression" dxfId="2" priority="2" stopIfTrue="1">
      <formula>$H112&lt;&gt;""</formula>
    </cfRule>
  </conditionalFormatting>
  <conditionalFormatting sqref="A108">
    <cfRule type="expression" dxfId="1" priority="4" stopIfTrue="1">
      <formula>$H113&lt;&gt;""</formula>
    </cfRule>
  </conditionalFormatting>
  <conditionalFormatting sqref="A115">
    <cfRule type="expression" dxfId="0" priority="1">
      <formula>$H115&lt;&gt;""</formula>
    </cfRule>
  </conditionalFormatting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d8e32544-49b9-47ff-9e94-8acb6f81ffd5}" enabled="1" method="Standard" siteId="{86f3ad06-368c-4a5a-81ed-352bb459622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2026</vt:lpstr>
      <vt:lpstr>ABZ</vt:lpstr>
    </vt:vector>
  </TitlesOfParts>
  <Company>AVM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Helena Mendoza</dc:creator>
  <cp:lastModifiedBy>Helena Mendoza</cp:lastModifiedBy>
  <dcterms:created xsi:type="dcterms:W3CDTF">2026-04-05T16:19:35Z</dcterms:created>
  <dcterms:modified xsi:type="dcterms:W3CDTF">2026-05-22T14:35:29Z</dcterms:modified>
</cp:coreProperties>
</file>