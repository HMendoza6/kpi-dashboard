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Mendoza\Documents\Verwaltung\2026\KPIs\"/>
    </mc:Choice>
  </mc:AlternateContent>
  <xr:revisionPtr revIDLastSave="0" documentId="8_{68EA4ECA-E1F7-4098-85C2-6181F9AA9650}" xr6:coauthVersionLast="47" xr6:coauthVersionMax="47" xr10:uidLastSave="{00000000-0000-0000-0000-000000000000}"/>
  <bookViews>
    <workbookView xWindow="-120" yWindow="-120" windowWidth="29040" windowHeight="17520" activeTab="1" xr2:uid="{08AD4CA1-0FFF-46C5-A131-52E0D88A1C80}"/>
  </bookViews>
  <sheets>
    <sheet name="Tabelle1" sheetId="9" r:id="rId1"/>
    <sheet name="Dashboard" sheetId="8" r:id="rId2"/>
    <sheet name="2026" sheetId="7" r:id="rId3"/>
    <sheet name="2025" sheetId="6" r:id="rId4"/>
    <sheet name="ÜM" sheetId="5" r:id="rId5"/>
    <sheet name="Online" sheetId="4" r:id="rId6"/>
    <sheet name="Alles" sheetId="1" r:id="rId7"/>
  </sheets>
  <definedNames>
    <definedName name="_xlnm._FilterDatabase" localSheetId="3" hidden="1">'2025'!$A$1:$R$1</definedName>
    <definedName name="_xlnm._FilterDatabase" localSheetId="2" hidden="1">'2026'!$A$1:$S$95</definedName>
    <definedName name="_xlnm._FilterDatabase" localSheetId="6" hidden="1">Alles!$A$1:$M$220</definedName>
    <definedName name="_xlnm._FilterDatabase" localSheetId="5" hidden="1">Online!$A$1:$M$90</definedName>
    <definedName name="_xlnm._FilterDatabase" localSheetId="4" hidden="1">ÜM!$A$1:$M$101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  <c r="P6" i="8"/>
  <c r="H4" i="8"/>
  <c r="G4" i="8"/>
  <c r="H5" i="8"/>
  <c r="F5" i="8"/>
  <c r="F4" i="8"/>
  <c r="Q10" i="8"/>
  <c r="P10" i="8"/>
  <c r="O10" i="8"/>
  <c r="N10" i="8"/>
  <c r="M10" i="8"/>
  <c r="L10" i="8"/>
  <c r="K10" i="8"/>
  <c r="J10" i="8"/>
  <c r="I10" i="8"/>
  <c r="G10" i="8"/>
  <c r="H10" i="8" s="1"/>
  <c r="F10" i="8"/>
  <c r="B10" i="8"/>
  <c r="B4" i="8"/>
  <c r="B5" i="8"/>
  <c r="B6" i="8"/>
  <c r="B7" i="8"/>
  <c r="B8" i="8"/>
  <c r="B9" i="8"/>
  <c r="B11" i="8"/>
  <c r="B12" i="8"/>
  <c r="B14" i="8"/>
  <c r="B15" i="8"/>
  <c r="B16" i="8"/>
  <c r="I5" i="8"/>
  <c r="I6" i="8"/>
  <c r="I7" i="8"/>
  <c r="I8" i="8"/>
  <c r="I9" i="8"/>
  <c r="I4" i="8"/>
  <c r="Q5" i="8"/>
  <c r="Q6" i="8"/>
  <c r="Q7" i="8"/>
  <c r="Q8" i="8"/>
  <c r="Q9" i="8"/>
  <c r="Q4" i="8"/>
  <c r="P5" i="8"/>
  <c r="P7" i="8"/>
  <c r="P8" i="8"/>
  <c r="P9" i="8"/>
  <c r="P4" i="8"/>
  <c r="O5" i="8"/>
  <c r="O6" i="8"/>
  <c r="O7" i="8"/>
  <c r="O8" i="8"/>
  <c r="O9" i="8"/>
  <c r="O4" i="8"/>
  <c r="N5" i="8"/>
  <c r="N6" i="8"/>
  <c r="N7" i="8"/>
  <c r="N8" i="8"/>
  <c r="N9" i="8"/>
  <c r="N4" i="8"/>
  <c r="M5" i="8"/>
  <c r="M6" i="8"/>
  <c r="M7" i="8"/>
  <c r="M8" i="8"/>
  <c r="M9" i="8"/>
  <c r="M4" i="8"/>
  <c r="L5" i="8"/>
  <c r="L6" i="8"/>
  <c r="L7" i="8"/>
  <c r="L8" i="8"/>
  <c r="L9" i="8"/>
  <c r="L4" i="8"/>
  <c r="K5" i="8"/>
  <c r="K6" i="8"/>
  <c r="K7" i="8"/>
  <c r="K8" i="8"/>
  <c r="K9" i="8"/>
  <c r="K4" i="8"/>
  <c r="J5" i="8"/>
  <c r="J6" i="8"/>
  <c r="J7" i="8"/>
  <c r="J8" i="8"/>
  <c r="J9" i="8"/>
  <c r="J4" i="8"/>
  <c r="F6" i="8"/>
  <c r="F7" i="8"/>
  <c r="F8" i="8"/>
  <c r="F9" i="8"/>
  <c r="F11" i="8" s="1"/>
  <c r="G9" i="8"/>
  <c r="G8" i="8"/>
  <c r="H8" i="8" s="1"/>
  <c r="G7" i="8"/>
  <c r="H7" i="8" s="1"/>
  <c r="G6" i="8"/>
  <c r="H6" i="8" s="1"/>
  <c r="G5" i="8"/>
  <c r="L251" i="6"/>
  <c r="K251" i="6"/>
  <c r="J251" i="6"/>
  <c r="I251" i="6"/>
  <c r="I296" i="6" s="1"/>
  <c r="H251" i="6"/>
  <c r="G251" i="6"/>
  <c r="F251" i="6"/>
  <c r="O103" i="4"/>
  <c r="I92" i="4"/>
  <c r="J92" i="4"/>
  <c r="H92" i="4"/>
  <c r="G92" i="4"/>
  <c r="F92" i="4"/>
  <c r="E92" i="4"/>
  <c r="K104" i="5"/>
  <c r="K202" i="1"/>
  <c r="J104" i="5"/>
  <c r="I104" i="5"/>
  <c r="H104" i="5"/>
  <c r="G104" i="5"/>
  <c r="F104" i="5"/>
  <c r="E104" i="5"/>
  <c r="E202" i="1"/>
  <c r="M202" i="1" s="1"/>
  <c r="K203" i="1" s="1"/>
  <c r="F202" i="1"/>
  <c r="J202" i="1"/>
  <c r="I202" i="1"/>
  <c r="H202" i="1"/>
  <c r="G202" i="1"/>
  <c r="N251" i="6" l="1"/>
  <c r="J11" i="8"/>
  <c r="K11" i="8"/>
  <c r="L11" i="8"/>
  <c r="M11" i="8"/>
  <c r="N11" i="8"/>
  <c r="O11" i="8"/>
  <c r="P11" i="8"/>
  <c r="Q11" i="8"/>
  <c r="I11" i="8"/>
  <c r="H9" i="8"/>
  <c r="H11" i="8" s="1"/>
  <c r="G11" i="8"/>
  <c r="M92" i="4"/>
  <c r="I203" i="1"/>
  <c r="M104" i="5"/>
  <c r="H105" i="5" s="1"/>
  <c r="H203" i="1"/>
  <c r="K105" i="5" l="1"/>
  <c r="E105" i="5"/>
  <c r="J105" i="5"/>
  <c r="I105" i="5"/>
  <c r="G105" i="5"/>
  <c r="F105" i="5"/>
  <c r="G203" i="1"/>
  <c r="E203" i="1"/>
  <c r="F203" i="1"/>
  <c r="J203" i="1"/>
  <c r="I93" i="4"/>
  <c r="G93" i="4" l="1"/>
  <c r="J93" i="4"/>
  <c r="H93" i="4"/>
  <c r="F93" i="4"/>
  <c r="E93" i="4"/>
</calcChain>
</file>

<file path=xl/sharedStrings.xml><?xml version="1.0" encoding="utf-8"?>
<sst xmlns="http://schemas.openxmlformats.org/spreadsheetml/2006/main" count="3266" uniqueCount="1074">
  <si>
    <t>Zeilenbeschriftungen</t>
  </si>
  <si>
    <t>Summe von EN</t>
  </si>
  <si>
    <t>Summe von IT</t>
  </si>
  <si>
    <t>Summe von NL</t>
  </si>
  <si>
    <t>Summe von PL</t>
  </si>
  <si>
    <t>Summe von SL</t>
  </si>
  <si>
    <t>Summe von SV</t>
  </si>
  <si>
    <t>Summe von FI</t>
  </si>
  <si>
    <t>Summe von NW</t>
  </si>
  <si>
    <t>Summe von DA</t>
  </si>
  <si>
    <t>CorporateLegal</t>
  </si>
  <si>
    <t>D2C</t>
  </si>
  <si>
    <t>ENT</t>
  </si>
  <si>
    <t>Finance</t>
  </si>
  <si>
    <t>SUP</t>
  </si>
  <si>
    <t>VTR</t>
  </si>
  <si>
    <t>Gesamtergebnis</t>
  </si>
  <si>
    <t>TCO- Kosten pro Sprache 2026</t>
  </si>
  <si>
    <t>Sprache</t>
  </si>
  <si>
    <t>Kosten</t>
  </si>
  <si>
    <t>Bereich</t>
  </si>
  <si>
    <t>DA</t>
  </si>
  <si>
    <t>EN</t>
  </si>
  <si>
    <t>ES</t>
  </si>
  <si>
    <t>GR</t>
  </si>
  <si>
    <t>FI</t>
  </si>
  <si>
    <t>IT</t>
  </si>
  <si>
    <t>NL</t>
  </si>
  <si>
    <t>NW</t>
  </si>
  <si>
    <t>PL</t>
  </si>
  <si>
    <t>PT</t>
  </si>
  <si>
    <t>SL</t>
  </si>
  <si>
    <t>SV</t>
  </si>
  <si>
    <t>CZ</t>
  </si>
  <si>
    <t>D2C Ecommerce</t>
  </si>
  <si>
    <t>User Interface &amp; Clients</t>
  </si>
  <si>
    <t>Support</t>
  </si>
  <si>
    <t>Sales Marketing</t>
  </si>
  <si>
    <t>Channel Sales</t>
  </si>
  <si>
    <t>Technical Communication</t>
  </si>
  <si>
    <t>TOTAL</t>
  </si>
  <si>
    <t>Datum</t>
  </si>
  <si>
    <t>Aufrag/Rechnung</t>
  </si>
  <si>
    <t>Typ</t>
  </si>
  <si>
    <t>Übersetzer</t>
  </si>
  <si>
    <t>Rechnung Nr. 2602</t>
  </si>
  <si>
    <t>Verschieden Aufträge (Dezember)</t>
  </si>
  <si>
    <t>Cristina Firriolo</t>
  </si>
  <si>
    <t>Rechnung Nr. 2605</t>
  </si>
  <si>
    <t>Verschieden Aufträge (Januar)</t>
  </si>
  <si>
    <t>Rechnung Nr. 2606</t>
  </si>
  <si>
    <t>Verschieden Aufträge Laura Bonfanti (Januar)</t>
  </si>
  <si>
    <t>Rechnung Nr. 2607</t>
  </si>
  <si>
    <t>Verschieden Aufträge Martine Schmidt (Januar)</t>
  </si>
  <si>
    <t>Rechnung Nr. 2608</t>
  </si>
  <si>
    <t>Verschieden Aufträge Franziska Schaare (Januar)</t>
  </si>
  <si>
    <t>Rechnung Nr. 2610</t>
  </si>
  <si>
    <t>FRITZ!Fon Data Act-</t>
  </si>
  <si>
    <t>Rechnung Nr. 2611</t>
  </si>
  <si>
    <t>Rechnung Nr. 2612</t>
  </si>
  <si>
    <t>shopify</t>
  </si>
  <si>
    <t>Rechnung Nr. 2613</t>
  </si>
  <si>
    <t>Vertrieb (BP, PA)</t>
  </si>
  <si>
    <t>Rechnung Nr. 2614</t>
  </si>
  <si>
    <t>Vertrieb (BP,shopify)</t>
  </si>
  <si>
    <t>Rechnung Nr. 2615</t>
  </si>
  <si>
    <t>Rechnung 1-04064</t>
  </si>
  <si>
    <t>FRl177_2601_KS_FRITZ!App Smart Horne für iOS: de =&gt;sl</t>
  </si>
  <si>
    <t>Yabylon</t>
  </si>
  <si>
    <t>Rechnung 1-04065</t>
  </si>
  <si>
    <t>FRl177_2601_KS_FRITZ!App Smart Horne für OS: de =&gt; pl</t>
  </si>
  <si>
    <t>Rechnung 1-04066</t>
  </si>
  <si>
    <t>FRI178_2601_KS_Data-Act-Text für FRITZ!Smart-Geräte: de =&gt; fi</t>
  </si>
  <si>
    <t>Rechnung 1-04067</t>
  </si>
  <si>
    <t>FRI178_2601_KS_Data-Act-Text für FRITZ!Smart-Geräte: de =&gt; se</t>
  </si>
  <si>
    <t>Rechnung 1-04068</t>
  </si>
  <si>
    <t>FRI178_2601_KS_Data-Act-Text für FRITZ!Smart-Geräte: de =&gt;no</t>
  </si>
  <si>
    <t>Rechnung 1-04069</t>
  </si>
  <si>
    <t>FRI178_2601_KS_Data-Act-Text für FRITZ!Smart-Geräte: de =&gt; pl</t>
  </si>
  <si>
    <t>Rechnung 1-04070</t>
  </si>
  <si>
    <t>FRI178_2601_KS_Data-Act-Text für FRITZ!Smart-Geräte: de =&gt; sl</t>
  </si>
  <si>
    <t>Rechnung 1-04071</t>
  </si>
  <si>
    <t>FRI178_2601_KS_Data-Act-Text für FRITZ!Smart-Geräte: de =&gt; dk</t>
  </si>
  <si>
    <t>Rechnung 1-04072</t>
  </si>
  <si>
    <t>FRl179_2601_KS_MyFRITZ!App für Android: de =&gt;pl</t>
  </si>
  <si>
    <t>Rechnung 1-04073</t>
  </si>
  <si>
    <t>FRl179_2601_KS_MyFRITZ!App für Android: de=&gt;sl</t>
  </si>
  <si>
    <t>Rechnung 1-04074</t>
  </si>
  <si>
    <t>FRI180_2601_KS_Amazon-Texte: de =&gt; pl</t>
  </si>
  <si>
    <t>Rechnung 1-04075</t>
  </si>
  <si>
    <t>FRl181_2601_KS_Neue MyFRITZ!App für iOS: de=&gt; pi</t>
  </si>
  <si>
    <t>Rechnung 1-04076</t>
  </si>
  <si>
    <t>FRl181_2601_KS_Neue MyFRITZ!App für OS: de =&gt; sl</t>
  </si>
  <si>
    <t>Rechnung 1-04096</t>
  </si>
  <si>
    <t>FRI183_2601_KS_Autoresponder: de =&gt; pl</t>
  </si>
  <si>
    <t>Rechnung 1-04092</t>
  </si>
  <si>
    <t>FRl174_2512_KS_Kurzanleitungen ins Dänische</t>
  </si>
  <si>
    <t>Rechnung 1-04093</t>
  </si>
  <si>
    <t>FRl174_2512_KS_Kurzanleitungen ins Finnische</t>
  </si>
  <si>
    <t>Rechnung 1-04094</t>
  </si>
  <si>
    <t>FRl174_2512_KS_Kurzanleitungen ins Norwegische</t>
  </si>
  <si>
    <t>Rechnung 1-04095</t>
  </si>
  <si>
    <t>FRl174_2512_KS_Kurzanleitungen ins Schwedische</t>
  </si>
  <si>
    <t>Rechnung I-04101</t>
  </si>
  <si>
    <t>FRi 182_2601_TK_Mail-Datenlöschung_de-pl</t>
  </si>
  <si>
    <t>Rechnung I-04112</t>
  </si>
  <si>
    <t>FRI184_2601_KS_Data-Act-Texte_de-no</t>
  </si>
  <si>
    <t>Rechnung I-04113</t>
  </si>
  <si>
    <t>FRI184_2601_KS_Data-Act-Texte_de-sv</t>
  </si>
  <si>
    <t>Rechnung I-04114</t>
  </si>
  <si>
    <t>FRI184_2601_KS_Data-Act-Texte_de-da</t>
  </si>
  <si>
    <t>Rechnung I-04115</t>
  </si>
  <si>
    <t>FRI184_2601_KS_Data-Act-Texte_de-fi</t>
  </si>
  <si>
    <t>Rechnung I-04116</t>
  </si>
  <si>
    <t>FRI185_2601_KS_Amazon-Texte - Polnisch</t>
  </si>
  <si>
    <t>Rechnung I-04117</t>
  </si>
  <si>
    <t>FRl186_2601_KS_Mails für den Online-Shop: de =&gt; da</t>
  </si>
  <si>
    <t>Rechnung I-04118</t>
  </si>
  <si>
    <t>FRl186_2601_KS_Mails für den Online-Shop: de =&gt;pl</t>
  </si>
  <si>
    <t>Rechnung I-04119</t>
  </si>
  <si>
    <t>FRl186_2601_KS_Mails für den Online-Shop: de =&gt; fi</t>
  </si>
  <si>
    <t>Rechnung I-04120</t>
  </si>
  <si>
    <t>FRl186_2601_KS_Mails für den Online-Shop: de =&gt; no</t>
  </si>
  <si>
    <t>Rechnung I-04121</t>
  </si>
  <si>
    <t>FRl186_2601_KS_Mails für den Online-Shop: de =&gt; sv</t>
  </si>
  <si>
    <t>Rechnung I-04122</t>
  </si>
  <si>
    <t>FRl187_2601_KS_21. Runde FRITZ!Box GUI (JS3): de =&gt; sl</t>
  </si>
  <si>
    <t>Rechnung I-04123</t>
  </si>
  <si>
    <t>FRl187_2601_KS_21. Runde FRITZ!Box GUI (JS3): de =&gt; pl</t>
  </si>
  <si>
    <t>Rechnung I-04124</t>
  </si>
  <si>
    <t>FRl188_2601_KS_MyFRITZ!App für Android: de =&gt;sl</t>
  </si>
  <si>
    <t>Rechnung I-04125</t>
  </si>
  <si>
    <t>FRl188_2601_KS_MyFRITZ!App für Android: de =&gt;pl</t>
  </si>
  <si>
    <t>Rechnung I-04126</t>
  </si>
  <si>
    <t>FRl189_2602_KS_FRITZ!App Fon: de =&gt; sl</t>
  </si>
  <si>
    <t>Rechnung I-04127</t>
  </si>
  <si>
    <t>FRl189_2602_KS_FRITZ!App Fon: de =&gt; pl</t>
  </si>
  <si>
    <t>Rechnung I-04128</t>
  </si>
  <si>
    <t>FRl191_2602_KS_Text für ChatBot: de =&gt; pl</t>
  </si>
  <si>
    <t>Rechnung I-04129</t>
  </si>
  <si>
    <t>FRl192_2602_KS_22. Runde FRITZ!Box GUI (JS3): de =&gt; pl</t>
  </si>
  <si>
    <t>Rechnung I-04130</t>
  </si>
  <si>
    <t>FRl192_2602_KS_22. Runde FRITZ!Box GUI (JS3): de =&gt; sl</t>
  </si>
  <si>
    <t>Rechnung I-04131</t>
  </si>
  <si>
    <t>FRI194_2602_KS_Data-Act-Text für FRITZ!Fon-Geräte: de =&gt; pl</t>
  </si>
  <si>
    <t>Rechnung I-04132</t>
  </si>
  <si>
    <t>FRl193_2602_KS_10. Runde "alte" GUI: de =&gt; pl</t>
  </si>
  <si>
    <t>Rechnung I-04133</t>
  </si>
  <si>
    <t>FRl193_2602_KS_10. Runde "alte" GUl: de =&gt;sl</t>
  </si>
  <si>
    <t>Rechnung I-04134</t>
  </si>
  <si>
    <t>FRl195_2602_KS_Teaserfür die GUls: de=&gt; sl</t>
  </si>
  <si>
    <t>Rechnung I-04135</t>
  </si>
  <si>
    <t>FRi 196_2602_KS_2_Produktankuendigungen_de-pi</t>
  </si>
  <si>
    <t>Rechnung I-04136</t>
  </si>
  <si>
    <t>FRI197_2602_KS_Ergänzung_Datenschutzerklärung_de-pl</t>
  </si>
  <si>
    <t>Rechnung I-04137</t>
  </si>
  <si>
    <t>FRI197_2602_KS_Ergänzung_Datenschutzerklärung_de-sl</t>
  </si>
  <si>
    <t>Rechnung I-04151</t>
  </si>
  <si>
    <t>FRl190_2602_KS_Datenschutzerklärung für Online-Hilfen: de =&gt;pl</t>
  </si>
  <si>
    <t>Rechnung I-04152</t>
  </si>
  <si>
    <t>FRl198_2602_KS_Produktankündigungen für Repeater 600 und 2400 in PL</t>
  </si>
  <si>
    <t>Rechnung I-04153</t>
  </si>
  <si>
    <t>FRl199_2602_KS_Produktankündigung FRITZ!Box 7632 in PL</t>
  </si>
  <si>
    <t>Rechnung I-04196</t>
  </si>
  <si>
    <t>FRl200_2602_KS_Ankündigung FRITZ!Smart Control_350_Edition International in PL</t>
  </si>
  <si>
    <t>Rechnung I-04197</t>
  </si>
  <si>
    <t>FRI201_2602_KS_Amazon_20260224_translations-de-pl</t>
  </si>
  <si>
    <t>Rechnung I-04198</t>
  </si>
  <si>
    <t>FRI203_2602_KS_2026-02-26_D-00000079_T-00000990_EngineeringModules+Fragments_deDE</t>
  </si>
  <si>
    <t>Rechnung I-04199</t>
  </si>
  <si>
    <t>FRI202_2602_KS_2026-02-24_D-00000079_T-00000988_EngineeringModules_de-DE_pl-PL</t>
  </si>
  <si>
    <t>Rechnung I-04200</t>
  </si>
  <si>
    <t>FRl204_2603_KS_MyFRITZ!App für Android: de =&gt;pl</t>
  </si>
  <si>
    <t>Rechnung I-04201</t>
  </si>
  <si>
    <t>FRl204_2603_KS_MyFRITZ!App für Android: de=&gt;sl</t>
  </si>
  <si>
    <t>Rechnung 1-04202</t>
  </si>
  <si>
    <t>FRl205_2603_KS_Neue MyFRITZ!App für OS: de =&gt; sl</t>
  </si>
  <si>
    <t>Rechnung 1-04203</t>
  </si>
  <si>
    <t>FRl205_2603_KS_Neue MyFRITZ!App für iOS: de=&gt; pi</t>
  </si>
  <si>
    <t>Rechnung 1-04204</t>
  </si>
  <si>
    <t>FRl206_2603_KS_FRITZ!App BoxSetup für iOS: de=&gt; pi</t>
  </si>
  <si>
    <t>Rechnung 1-04205</t>
  </si>
  <si>
    <t>FRl206_2603_KS_FRITZ!App BoxSetup für OS: de =&gt; sl</t>
  </si>
  <si>
    <t>Rechnung 1-04206</t>
  </si>
  <si>
    <t>FRI207_2603_KS_Booklet_6700_de-da</t>
  </si>
  <si>
    <t>Rechnung 1-04207</t>
  </si>
  <si>
    <t>FRI207_2603_KS_Booklet_6700_de-fi</t>
  </si>
  <si>
    <t>Rechnung 1-04208</t>
  </si>
  <si>
    <t>FRI207_2603_KS_Booklet_6700_de-no</t>
  </si>
  <si>
    <t>Rechnung 1-04209</t>
  </si>
  <si>
    <t>Rechnung I-04210</t>
  </si>
  <si>
    <t>FRl208_2603_KS_Makro zu DS-GVO: de =&gt; pl</t>
  </si>
  <si>
    <t>Rechnung I-04211</t>
  </si>
  <si>
    <t>FRl212_2603_KS_Neue FRITZ!App Smart Horne für Android: de =&gt;pl</t>
  </si>
  <si>
    <t>Rechnung I-04212</t>
  </si>
  <si>
    <t>FRI209_2603_KS_Handelsregisterauszug+Beglaubigung_de-enGB</t>
  </si>
  <si>
    <t>Rechnung I-04213</t>
  </si>
  <si>
    <t>FRI210_2603_KS_Amazon_Seller_Homepage_Legal_feedback_request_de-pi</t>
  </si>
  <si>
    <t>Rechnung I-04214</t>
  </si>
  <si>
    <t>FRI211_2603_KS_Changelog-Einträge: de=&gt; pi</t>
  </si>
  <si>
    <t>Rechnung I-04215</t>
  </si>
  <si>
    <t>FRI211_2603_KS_Changelog-Einträge: de=&gt; sl</t>
  </si>
  <si>
    <t>Rechnung I-04216</t>
  </si>
  <si>
    <t>FRl212_2603_KS_Neue FRITZ!App Smart Horne für Android: de=&gt;sl</t>
  </si>
  <si>
    <t>Rechnung I-04217</t>
  </si>
  <si>
    <t>FRl213_2603_KS_23. Runde FRITZ!Box GUI (JS3): de =&gt; pl</t>
  </si>
  <si>
    <t>Rechnung I-04218</t>
  </si>
  <si>
    <t>FRl213_2603_KS_23. Runde FRITZ!Box GUI (JS3): de =&gt; sl</t>
  </si>
  <si>
    <t>Rechnung I-04219</t>
  </si>
  <si>
    <t>FRl214_2603_KS_Macro für Kundenvorschläge: de =&gt; pl</t>
  </si>
  <si>
    <t>Rechnung 1-04220</t>
  </si>
  <si>
    <t>FRI215_2603_KS_Amazon_Vergleichstabelle_de-pi</t>
  </si>
  <si>
    <t>Rechnung I-04231</t>
  </si>
  <si>
    <t>FRl216_2603_KS_Produktankündigung FRITZ!Box 7630 Edition International DE-PL</t>
  </si>
  <si>
    <t>Rechnung 1-04232</t>
  </si>
  <si>
    <t>FRl217_2603_KS_Neue FRITZ!App Smart Horne für OS: de =&gt; pl</t>
  </si>
  <si>
    <t>Rechnung 1-04233</t>
  </si>
  <si>
    <t>FRl217_2603_KS_Neue FRITZ!App Smart Horne für OS: de =&gt; sl</t>
  </si>
  <si>
    <t>Rechnung RE1326</t>
  </si>
  <si>
    <t>Verschieden Aufträge</t>
  </si>
  <si>
    <t>Marion Caris</t>
  </si>
  <si>
    <t>Rechnung RE1335</t>
  </si>
  <si>
    <t>Rechnung I-04274</t>
  </si>
  <si>
    <t>FRI219_2603_KS_Android-Libraries: de =&gt; sl</t>
  </si>
  <si>
    <t xml:space="preserve">Rechnung I-04275 </t>
  </si>
  <si>
    <t>FRI219_2603_KS_Android-Libraries: de =&gt; pl</t>
  </si>
  <si>
    <t>Rechnung I-04276</t>
  </si>
  <si>
    <t>FRI221_2604_KS_Amazon-Texte ins Polnische</t>
  </si>
  <si>
    <t>Rechnung 1-04277</t>
  </si>
  <si>
    <t>FRl222_2604_KS_Einzelne Übersetzungen für die GUI (PL}</t>
  </si>
  <si>
    <t>Rechnung 1-04278</t>
  </si>
  <si>
    <t>FRl222_2604_KS_Einzelne Übersetzungen für die GUI (SL}</t>
  </si>
  <si>
    <t>Rechnung 1-04295</t>
  </si>
  <si>
    <t>FRI220_2604_KS_HR-Auszug_beglaubigte_Übersetzung DE-ES</t>
  </si>
  <si>
    <t>Rechnung I-04296</t>
  </si>
  <si>
    <t>FRI223_2604_KS_FRITZ!App BoxSetup für iOS: de =&gt; sl</t>
  </si>
  <si>
    <t>Rechnung I-04297</t>
  </si>
  <si>
    <t>FRI223_2604_KS_FRITZ!App BoxSetup für iOS: de =&gt; pl</t>
  </si>
  <si>
    <t>Rechnung I-04298</t>
  </si>
  <si>
    <t>FRI224_2604_KS_MyFRITZ!App für iOS: de =&gt; sl</t>
  </si>
  <si>
    <t>Rechnung I-04299</t>
  </si>
  <si>
    <t>FRI224_2604_KS_MyFRITZ!App für iOS: de =&gt; pl</t>
  </si>
  <si>
    <t>6.05.2026</t>
  </si>
  <si>
    <t>Rechnung Nr. 2619</t>
  </si>
  <si>
    <t>Rechnung Nr. 2618</t>
  </si>
  <si>
    <t>Rechnung Nr. 2617</t>
  </si>
  <si>
    <t>26.05.2026</t>
  </si>
  <si>
    <t>Rechnung 1-04332</t>
  </si>
  <si>
    <t>FRITZ!App WLAN für Android: de =&gt;</t>
  </si>
  <si>
    <t>Rechnung I-04331</t>
  </si>
  <si>
    <t>FRITZ!App WLAN für Android</t>
  </si>
  <si>
    <t>147,38</t>
  </si>
  <si>
    <t>Rechnung 1-04329</t>
  </si>
  <si>
    <t>MyFRITZ!App für Android</t>
  </si>
  <si>
    <t>Rechnung 1-04330</t>
  </si>
  <si>
    <t>S_MyFRITZ!App für Android</t>
  </si>
  <si>
    <t>Rechnung 1-04328</t>
  </si>
  <si>
    <t>Neue 1. Runde alte GUI in SL</t>
  </si>
  <si>
    <t>Rechnung 1-04326</t>
  </si>
  <si>
    <t>4_Dokumente_de-el</t>
  </si>
  <si>
    <t>Rechnung 1-04327</t>
  </si>
  <si>
    <t>Neue 1. Runde alte GUI in PL</t>
  </si>
  <si>
    <t>Rechnung 1-04325</t>
  </si>
  <si>
    <t>FRITZ Glossar in SL</t>
  </si>
  <si>
    <t>Rechnung 1-04324</t>
  </si>
  <si>
    <t>FRITZ Glossar in PL</t>
  </si>
  <si>
    <t>29.05.2026</t>
  </si>
  <si>
    <t>Rechnung 1-04358</t>
  </si>
  <si>
    <t>KA-FehlendeTexte: de=&gt; d</t>
  </si>
  <si>
    <t>Rechnung 1-04357</t>
  </si>
  <si>
    <t>FRITZ!WLAN-Stick6700_de-p</t>
  </si>
  <si>
    <t>Rechnung 1-04359</t>
  </si>
  <si>
    <t>D2C_Emails_Willkommens-Strecke_de-pl</t>
  </si>
  <si>
    <t>Rechnung 1-04364</t>
  </si>
  <si>
    <t>Datennutzung_de-pl</t>
  </si>
  <si>
    <t>Rechnung 1-04360</t>
  </si>
  <si>
    <t>Runde_Fritz!Box_GUI(JS3): de =&gt; pl</t>
  </si>
  <si>
    <t>Rechnung I-04361</t>
  </si>
  <si>
    <t>Runde_Fritz!Box_GUI(JS3): de =&gt; sl</t>
  </si>
  <si>
    <t>Rechnung 1-04363</t>
  </si>
  <si>
    <t>MyFRITZ!App_Android: de=&gt; sl</t>
  </si>
  <si>
    <t>Rechnung 1-04362</t>
  </si>
  <si>
    <t>MyFRITZ!App_Android: de=&gt; pl</t>
  </si>
  <si>
    <t>Rechnung 1-04365</t>
  </si>
  <si>
    <t>Datennutzung_de-sl</t>
  </si>
  <si>
    <t>11.06.2026</t>
  </si>
  <si>
    <t>Rechnung Nr. 2621</t>
  </si>
  <si>
    <t>verschiedene Aufträge</t>
  </si>
  <si>
    <t>Rechnung Nr. 2622</t>
  </si>
  <si>
    <t>Rechnung Nr. 2623</t>
  </si>
  <si>
    <t>24.06.2026</t>
  </si>
  <si>
    <t>Rechnung 1-04398</t>
  </si>
  <si>
    <t>FRl242_2606_KS_FRITZ!App Fon: de =&gt; p</t>
  </si>
  <si>
    <t>Rechnung 1-04397</t>
  </si>
  <si>
    <t>FRl242_2606_KS_FRITZ!App Fon: de =&gt; sl</t>
  </si>
  <si>
    <t>Rechnung 1-04396</t>
  </si>
  <si>
    <t>FRl241_2606_KS_Neue FRITZ!App TV für Android: de =&gt;sl</t>
  </si>
  <si>
    <t>Rechnung 1-04395</t>
  </si>
  <si>
    <t>FRl241_2606_KS_Neue FRITZ!App TV für Android: de =&gt; pl</t>
  </si>
  <si>
    <t>Rechnung 1-04393</t>
  </si>
  <si>
    <t>FRl240_2606_KS_Neue FRITZ!App Smart Horne für Android: de =&gt;pl</t>
  </si>
  <si>
    <t>Rechnung 1-04394</t>
  </si>
  <si>
    <t>FRl240_2606_KS_Neue FRITZ!App Smart Horne für Android: de=&gt;sl</t>
  </si>
  <si>
    <t>Rechnung 1-04392</t>
  </si>
  <si>
    <t>FRl238_2606_KS_2. Runde "alte" GUI: de =&gt; pl</t>
  </si>
  <si>
    <t>Rechnung I-04391</t>
  </si>
  <si>
    <t>FRl238_2606_KS_2. Runde "alte" GUI: de =&gt; sl</t>
  </si>
  <si>
    <t>Rechnung 1-04390</t>
  </si>
  <si>
    <t>FRl237_2605_KS_Produktankündigung FRITZ!Box 5630 Edition International DE- PL</t>
  </si>
  <si>
    <t>Rechnung 1-04389</t>
  </si>
  <si>
    <t>FRl236_2605_KS_FRITZ!Box 5630, 7630, 7690, FRITZ!Repeater 1700 Edition EL (</t>
  </si>
  <si>
    <t>06.07.2026</t>
  </si>
  <si>
    <t>Rechnung Nr. 2625</t>
  </si>
  <si>
    <t>24.07.2026</t>
  </si>
  <si>
    <t>Rechnung 1-04429</t>
  </si>
  <si>
    <t>Auszug aus der Datenschutzerklärung (Apps) DE-SL</t>
  </si>
  <si>
    <t>Rechnung 1-04428</t>
  </si>
  <si>
    <t>FRl243_2606_KS_3. Runde "alte" GUl: de =&gt;s</t>
  </si>
  <si>
    <t>Rechnung 1-04430</t>
  </si>
  <si>
    <t>KS_MyFRITZ!App für OS: de =&gt; pl</t>
  </si>
  <si>
    <t>Rechnung I-04431</t>
  </si>
  <si>
    <t>2607_KS_MyFRITZ!App für OS: de =&gt;sl</t>
  </si>
  <si>
    <t>Rechnung 1-04432</t>
  </si>
  <si>
    <t>2607_KS_4. Runde "alte" GUl: de =&gt;sl</t>
  </si>
  <si>
    <t>Rechnung 1-04433</t>
  </si>
  <si>
    <t>FRl249_2607_KS_4015_de-sl (KM)</t>
  </si>
  <si>
    <t>30.07.2026</t>
  </si>
  <si>
    <t>Rechnung 1-04456</t>
  </si>
  <si>
    <t>FRl250_2607_KS_5. Runde "alte" GUl: de =&gt;sl</t>
  </si>
  <si>
    <t>Rechnung 1-04465</t>
  </si>
  <si>
    <t>FRl251_2607_KS_Neue FRITZ!App Smart Horne für OS: de =&gt; pl</t>
  </si>
  <si>
    <t>Rechnung 1-04464</t>
  </si>
  <si>
    <t>FRl251_2607_KS_Neue FRITZ!App Smart Horne für OS: de =&gt; sl</t>
  </si>
  <si>
    <t>Rechnung 1-04462</t>
  </si>
  <si>
    <t>FRl245_2607_TK_FRITZ!SmartEnergy-201_de-sv</t>
  </si>
  <si>
    <t>Rechnung I-04461</t>
  </si>
  <si>
    <t>FRl245_2607_TK_FRITZ!SmartEnergy-201_de-no</t>
  </si>
  <si>
    <t>Rechnung 1-04459</t>
  </si>
  <si>
    <t>FRl245_2607_TK_FRITZ!SmartEnergy-201_de-d</t>
  </si>
  <si>
    <t>Rechnung 1-04460</t>
  </si>
  <si>
    <t>FRl245_2607_TK_FRITZ!SmartEnergy-201_de-fi</t>
  </si>
  <si>
    <t>Rechnung 1-04457</t>
  </si>
  <si>
    <t>FRI245_2607_TK_FRITZISmartEnergy-201_de-pt</t>
  </si>
  <si>
    <t>03.08.2026</t>
  </si>
  <si>
    <t>Rechnung Nr. 2628</t>
  </si>
  <si>
    <t>Rechnung Nr. 2629</t>
  </si>
  <si>
    <t>24.08.2026</t>
  </si>
  <si>
    <t>Rechnung 1-04502</t>
  </si>
  <si>
    <t xml:space="preserve"> FRl260_2608_KS_MyFRITZ!App für Android: de=&gt;sl</t>
  </si>
  <si>
    <t>Rechnung I-04501</t>
  </si>
  <si>
    <t xml:space="preserve"> FRl259_2608_KS_Übersetzung alte GUI-Vorlage in Slowenisc</t>
  </si>
  <si>
    <t>Rechnung 1-04500</t>
  </si>
  <si>
    <t>FRl257_2608_KS_FRITZ!Box GUI (JS3) ins Slowenische</t>
  </si>
  <si>
    <t>Rechnung 1-04499</t>
  </si>
  <si>
    <t>FRl256_2608_KS_MyFRITZ!App für Android: de=&gt;sl</t>
  </si>
  <si>
    <t>Rechnung 1-04498</t>
  </si>
  <si>
    <t>FRl255_2608_KS_Library für Android: de =&gt;pl</t>
  </si>
  <si>
    <t>Rechnung 1-04497</t>
  </si>
  <si>
    <t>FRl255_2608_KS_Library für Android: de=&gt;sl</t>
  </si>
  <si>
    <t>Rechnung 1-04496</t>
  </si>
  <si>
    <t>FRl254_2608_KS_MyFRITZ!App für OS: de =&gt; pl</t>
  </si>
  <si>
    <t>Rechnung 1-04495</t>
  </si>
  <si>
    <t>FRI253_2607_KS_Library-Datei für die iOS-Apps DE-PL</t>
  </si>
  <si>
    <t>Rechnung 1-04493</t>
  </si>
  <si>
    <t>FRl258_2608_KS_Neue Runde "alte" GUl: de =&gt;sl</t>
  </si>
  <si>
    <t>Rechnung 1-04494</t>
  </si>
  <si>
    <t>FRI253_2607_KS_Library-Datei für die OS-Apps DE-SL</t>
  </si>
  <si>
    <t>Rechnung 1-04492</t>
  </si>
  <si>
    <t>FRl254_2608_KS_MyFRITZ!App für OS: de =&gt;sl</t>
  </si>
  <si>
    <t>Rechnung I-04491</t>
  </si>
  <si>
    <t>FRl252_2607_KS_FRITZ!Box GUI (JS3) ins Slowenische</t>
  </si>
  <si>
    <t>26.08.2026</t>
  </si>
  <si>
    <t>Rechnung 1-04507</t>
  </si>
  <si>
    <t>FRl261_2508_KS_Übersetzung 'alte'-GUI DE&gt; SL</t>
  </si>
  <si>
    <t>Rechnung 1-04508</t>
  </si>
  <si>
    <t>FRI262_2508_KS_FRITZ!App_Smart Horne_OS_de-sl</t>
  </si>
  <si>
    <t>Rechnung I-04510</t>
  </si>
  <si>
    <t>FRI264_2508_KS_FRITZ!Box_GUI_JS3_de-sl</t>
  </si>
  <si>
    <t>Rechnung 1-04509</t>
  </si>
  <si>
    <t>FRI263_2608_KS_Datenschutz_de-sl</t>
  </si>
  <si>
    <t>Rechnung 1-04527</t>
  </si>
  <si>
    <t>FRI265_2608_TK_Upd_MyFapp-Deltas_Android_de-s</t>
  </si>
  <si>
    <t>05.09.2026</t>
  </si>
  <si>
    <t>Rechnung RE1375</t>
  </si>
  <si>
    <t>07.09.2025</t>
  </si>
  <si>
    <t>Rechnung Nr. 2633</t>
  </si>
  <si>
    <t>Rechnung Nr. 2632</t>
  </si>
  <si>
    <t>Datenschützerklärung GUI</t>
  </si>
  <si>
    <t>Rechnung Nr. 2631</t>
  </si>
  <si>
    <t>verschidene Aufträge</t>
  </si>
  <si>
    <t>28.09.2026</t>
  </si>
  <si>
    <t>Rechnung I-04534</t>
  </si>
  <si>
    <t>FRl271_2609_KS_Neue MyFRITZ!App für Android: de =&gt;sl</t>
  </si>
  <si>
    <t>Rechnung I-04533</t>
  </si>
  <si>
    <t>FRl270_2609_KS_MyFRITZ!App für OS: de =&gt;sl</t>
  </si>
  <si>
    <t>Rechnung 1-04532</t>
  </si>
  <si>
    <t>FRl269_2609_KS_7. Runde "alte" GUl: de =&gt;s</t>
  </si>
  <si>
    <t>Rechnung 1-04555</t>
  </si>
  <si>
    <t>FRI268_2609_TK_FRITZ!BoxGUI_de-sl</t>
  </si>
  <si>
    <t>Rechnung 1-04553</t>
  </si>
  <si>
    <t>FRI266_2609_TK_Fapp_ade_Delta_de-sl</t>
  </si>
  <si>
    <t>Rechnung 1-04554</t>
  </si>
  <si>
    <t>FRl267_2609_TK_Fritz!App_Fon-iOS_de-sl</t>
  </si>
  <si>
    <t>Rechnung 1-04548</t>
  </si>
  <si>
    <t>FRl272_2609_KS_FRITZ!App WLAN: de =&gt; sl</t>
  </si>
  <si>
    <t>06.10.2026</t>
  </si>
  <si>
    <t>Rechnung Nr. 2634</t>
  </si>
  <si>
    <t>Rechnung Nr. 2635</t>
  </si>
  <si>
    <t>Rechnung Nr. 2636</t>
  </si>
  <si>
    <t>07.10.2026</t>
  </si>
  <si>
    <t>Rechnung RE1378</t>
  </si>
  <si>
    <t>Abteilung</t>
  </si>
  <si>
    <t>Rechnung I-03309</t>
  </si>
  <si>
    <t>FRITZ!App Smart Home für iOS: de =&gt; pl</t>
  </si>
  <si>
    <t>Rechnung I-03310</t>
  </si>
  <si>
    <t>Neue FRITZ!App Smart Home für Android in PL</t>
  </si>
  <si>
    <t>Rechnung I-03311</t>
  </si>
  <si>
    <t>AVM994_2501_KS_1. Runde alte FB-GUI: de =&gt; pl</t>
  </si>
  <si>
    <t>Rechnung I-03312</t>
  </si>
  <si>
    <t>AVM995_2501_KS_4 Strings für die alte GUI: de</t>
  </si>
  <si>
    <t>Rechnung I-03313</t>
  </si>
  <si>
    <t>KS_INDD_Mesh Set 3000_de-pt</t>
  </si>
  <si>
    <t>Rechnung I-03314</t>
  </si>
  <si>
    <t>KS_Produktankündigung FRITZ!Mesh (Wi-Fi) Set 4200: de =&gt; pl</t>
  </si>
  <si>
    <t>Rechnung I-03315</t>
  </si>
  <si>
    <t>MyFRITZ!App für iOS: de =&gt; pl</t>
  </si>
  <si>
    <t>Rechnung I-03316</t>
  </si>
  <si>
    <t>Texte_Kurzanleitung_6850_4G_de-pl</t>
  </si>
  <si>
    <t>Rechnung I-03415</t>
  </si>
  <si>
    <t>6860 5G Datensaetze und Product Features_Teil2 DE-PL</t>
  </si>
  <si>
    <t>Rechnung I-03416</t>
  </si>
  <si>
    <t>FRITZIApp-Library für Android: de =&gt;pl</t>
  </si>
  <si>
    <t>Rechnung I-03417</t>
  </si>
  <si>
    <t>Rechnung I-03418</t>
  </si>
  <si>
    <t>FRITZ!App Smart Horne für OS: de =&gt; pl</t>
  </si>
  <si>
    <t>Rechnung I-03419</t>
  </si>
  <si>
    <t>KS_Produktvideos_de-pi</t>
  </si>
  <si>
    <t>Rechnung 1-03420</t>
  </si>
  <si>
    <t>GUI-index_sl+pl</t>
  </si>
  <si>
    <t>Rechnung I-03421</t>
  </si>
  <si>
    <t>Neue MyFRITZIApp: de =&gt; pl</t>
  </si>
  <si>
    <t>Rechnung 1-03422</t>
  </si>
  <si>
    <t>Produktvideo_6860_5G-de-pl</t>
  </si>
  <si>
    <t>Rechnung 1-03423</t>
  </si>
  <si>
    <t>KS_Neue FRITZ!App Smart Horne für Android</t>
  </si>
  <si>
    <t>Rechnung I-03424</t>
  </si>
  <si>
    <t>Präambel der Datenschutzerklärung</t>
  </si>
  <si>
    <t>Rechnung I-03425</t>
  </si>
  <si>
    <t>GUI SL</t>
  </si>
  <si>
    <t>Rechnung 1-03426</t>
  </si>
  <si>
    <t>One_Pager_Kapitel_6860_5G_de-pl</t>
  </si>
  <si>
    <t>Rechnung 1-03437</t>
  </si>
  <si>
    <t>RSS024_2503_KS_Über FRITZ!:</t>
  </si>
  <si>
    <t>Rechnung 1-03438</t>
  </si>
  <si>
    <t>1. Runde FRITZ!Box GUI (JS3):</t>
  </si>
  <si>
    <t>Rechnung 1-03439</t>
  </si>
  <si>
    <t>KS_One_Pager_MyFRITZ!_5_Dateien_de-pi</t>
  </si>
  <si>
    <t>Rechnung 1-03440</t>
  </si>
  <si>
    <t>Kurzanleitung_Mesh_Set_4200_de-pt</t>
  </si>
  <si>
    <t>Rechnung 1-03450</t>
  </si>
  <si>
    <t>ritz!Box_6690_HB_de-cz</t>
  </si>
  <si>
    <t>Rechnung 1-03464</t>
  </si>
  <si>
    <t>Produktvideo_6860_5G_de-pl</t>
  </si>
  <si>
    <t>Rechnung 1-03475</t>
  </si>
  <si>
    <t>KS_FRITZ!App Smart Horne für Android: de =&gt; pl</t>
  </si>
  <si>
    <t>Rechnung 1-03478</t>
  </si>
  <si>
    <t>KS_MyFRITZ!App für Android: de =&gt; pl</t>
  </si>
  <si>
    <t>Rechnung 1-03476</t>
  </si>
  <si>
    <t>KS_2. Runde FRITZ!Box GUI (JS3): de =&gt; pl, de =&gt; sl</t>
  </si>
  <si>
    <t>Rechnung 1-03477</t>
  </si>
  <si>
    <t>KS_FRITZ!App-Library für Android: de =&gt; pl</t>
  </si>
  <si>
    <t>Rechnung 1-03479</t>
  </si>
  <si>
    <t>KS_FDECT-Umbenennung_de-pl</t>
  </si>
  <si>
    <t>Rechnung 1-03489</t>
  </si>
  <si>
    <t>TK_Artikel_3Gruende-Glasfaser_de-pl</t>
  </si>
  <si>
    <t>Rechnung 1-03490</t>
  </si>
  <si>
    <t>TK_Booklet-Repeater2700_de-pt</t>
  </si>
  <si>
    <t>Rechnung I-03491</t>
  </si>
  <si>
    <t>Produktankündigung-FRITZIMeshSet-1600_de-pl</t>
  </si>
  <si>
    <t>Rechnung 1-03488</t>
  </si>
  <si>
    <t>TK_FRITZ! Box 5690_de-pl</t>
  </si>
  <si>
    <t>Rechnung 1-03480</t>
  </si>
  <si>
    <t>KS_3. Runde FRITZ!Box GUI (JS3): de =&gt; pl, de =&gt; sl</t>
  </si>
  <si>
    <t>Rechnung 1-03492</t>
  </si>
  <si>
    <t>TK_Fritz!Box_6690_Variablen_de-cz</t>
  </si>
  <si>
    <t>Rechnung 1-03543</t>
  </si>
  <si>
    <t>Handbuch_6690_man_de-pi</t>
  </si>
  <si>
    <t>Rechnung 1-03544</t>
  </si>
  <si>
    <t>Strings für die GUI des neuen FITZ!Repeater</t>
  </si>
  <si>
    <t>Rechnung 1-03545</t>
  </si>
  <si>
    <t>2504_KS_Datenschutzbestimmungen_de-pi</t>
  </si>
  <si>
    <t>Rechnung 1-03546</t>
  </si>
  <si>
    <t>Booklet FRITZ!Repeater 1700 - Portugiesisch</t>
  </si>
  <si>
    <t>Rechnung 1-03547</t>
  </si>
  <si>
    <t>FRITZ!AppFon_Android_de-pl</t>
  </si>
  <si>
    <t>Rechnung 1-03548</t>
  </si>
  <si>
    <t>Runde FRITZ!Box GUI (JS3): de =&gt; pl, de =&gt; sl</t>
  </si>
  <si>
    <t>Rechnung 1-03549</t>
  </si>
  <si>
    <t>Neue Texte für die Fons+ 3 Kürzungen</t>
  </si>
  <si>
    <t>Rechnung 1-03550</t>
  </si>
  <si>
    <t>RSS047_2505_KS_3 Texte ins Polnische</t>
  </si>
  <si>
    <t>Rechnung I-03551</t>
  </si>
  <si>
    <t>Booklet_FRITZ!Mesh_Set_2700_de-pt</t>
  </si>
  <si>
    <t>Rechnung 1-03562</t>
  </si>
  <si>
    <t>MyFRITZ!App für OS: de =&gt; pl</t>
  </si>
  <si>
    <t>Rechnung I-03561</t>
  </si>
  <si>
    <t>Runde "alte" GUI: de =&gt; pl</t>
  </si>
  <si>
    <t>Rechnung 1-03566</t>
  </si>
  <si>
    <t>Booklet FRITZ!Mesh Set 2700 auf Polnisch</t>
  </si>
  <si>
    <t>Rechnung 1-03595</t>
  </si>
  <si>
    <t>Booklet FRITZ!Repeater 1610 Outdoor PL und PT</t>
  </si>
  <si>
    <t>Rechnung I-03615</t>
  </si>
  <si>
    <t>Kurzanleitung FRITZ!Box 5590 Fiber</t>
  </si>
  <si>
    <t>Rechnung I-03619</t>
  </si>
  <si>
    <t>FRITZ!Box GUI (JS3): de =&gt; pl, de =&gt; sl</t>
  </si>
  <si>
    <t>Rechnung I-03618</t>
  </si>
  <si>
    <t>KS_Zertifikatsdialoge der OS-Apps: de =&gt; sl</t>
  </si>
  <si>
    <t>Rechnung 1-03620</t>
  </si>
  <si>
    <t>Teaser für die GUI: de =&gt;pl</t>
  </si>
  <si>
    <t>Rechnung I-03617</t>
  </si>
  <si>
    <t>FRITZ!Box-GUI: de =&gt; pl, de=&gt; sl</t>
  </si>
  <si>
    <t>Rechnung I-03616</t>
  </si>
  <si>
    <t>Rechnung I-03614</t>
  </si>
  <si>
    <t>Rechnung I-03613</t>
  </si>
  <si>
    <t>KS_Produktseite Mesh Set 1600 PL</t>
  </si>
  <si>
    <t>Rechnung 1-03638</t>
  </si>
  <si>
    <t>_Datenschutzerklaerung_Webseite_de-pi</t>
  </si>
  <si>
    <t>Rechnung I-03641</t>
  </si>
  <si>
    <t>NeueFRITZIApp-Smart-Home_iOS_de-pl</t>
  </si>
  <si>
    <t>Rechnung 1-03642</t>
  </si>
  <si>
    <t>Aktualiserung-OnePager Glasfaser_de-pi</t>
  </si>
  <si>
    <t>Rechnung 1-03639</t>
  </si>
  <si>
    <t>Rechnung 1-03679</t>
  </si>
  <si>
    <t>alte" FRITZ!Box-GUI: de =&gt; pl, de=&gt; sl</t>
  </si>
  <si>
    <t>Rechnung 1-03678</t>
  </si>
  <si>
    <t>FRITZIApp-Library für Android: de =&gt;pl, de=&gt; sl</t>
  </si>
  <si>
    <t>Rechnung 1-03680</t>
  </si>
  <si>
    <t>94343_pl-PL_fritzmesh_wi_fi_set_4200_de-pl</t>
  </si>
  <si>
    <t>Rechnung 1-03683</t>
  </si>
  <si>
    <t>KS_FRITZ!App Box Setup für OS: de =&gt; pl</t>
  </si>
  <si>
    <t>Rechnung I-03681</t>
  </si>
  <si>
    <t>1 neuer String für FRITZ!Fon: de =&gt; pl</t>
  </si>
  <si>
    <t>Rechnung 1-03684</t>
  </si>
  <si>
    <t>KS_FRITZ!App Box Setup für jOS: de =&gt; sl</t>
  </si>
  <si>
    <t>Rechnung 1-03682</t>
  </si>
  <si>
    <t>Rechnung 1-03685</t>
  </si>
  <si>
    <t>Rechnung 1-03686</t>
  </si>
  <si>
    <t>Settings-Datei für iOS: de =&gt; sl</t>
  </si>
  <si>
    <t>Rechnung 1-03687</t>
  </si>
  <si>
    <t>Untertitelübersetzung für Produktvideo_Mesh_Set_4200_de-pl</t>
  </si>
  <si>
    <t>Rechnung 1-03688</t>
  </si>
  <si>
    <t>Changelog-Einträge für die MyFRITZ!IApp: de =&gt; pl, de =&gt; sl</t>
  </si>
  <si>
    <t>Rechnung 1-03689</t>
  </si>
  <si>
    <t>FRITZ!Box 5690 XGS DE-PL</t>
  </si>
  <si>
    <t>Rechnung 1-03690</t>
  </si>
  <si>
    <t>MyFRITZ!App für Android: de =&gt;pl, de =&gt; sl</t>
  </si>
  <si>
    <t>Rechnung I-03691</t>
  </si>
  <si>
    <t>FRITZ!Box GUI (JS3, 2 Dateien): de =&gt; pl, de=&gt; sl</t>
  </si>
  <si>
    <t>Rechnung 1-03692</t>
  </si>
  <si>
    <t>KS_Datenschutzerklaerung_250505_DSE avm.de fritz.com_Juli2025_final DE-PL</t>
  </si>
  <si>
    <t>Rechnung 1-03693</t>
  </si>
  <si>
    <t>KS_FRITZ!App TV für OS: de =&gt; sl</t>
  </si>
  <si>
    <t>Rechnung 1-03694</t>
  </si>
  <si>
    <t>OnePager_95032_fritzos_820 DE-PL</t>
  </si>
  <si>
    <t>Rechnung 1-03695</t>
  </si>
  <si>
    <t>Rechnung 1-03696</t>
  </si>
  <si>
    <t>GUI_12.1100.1.9_de-pl+sl</t>
  </si>
  <si>
    <t>Rechnung 1-03697</t>
  </si>
  <si>
    <t>KS_6_Dateien_zum_FRITZ!Mesh_Set_1700 DE-PL</t>
  </si>
  <si>
    <t>Rechnung 1-03699</t>
  </si>
  <si>
    <t>Produktankündigung Mesh Wi-Fi Extender 1700 Edition International _PL</t>
  </si>
  <si>
    <t>Rechnung 1-03698</t>
  </si>
  <si>
    <t>KS_GUI_PO_de-sl+pl</t>
  </si>
  <si>
    <t>Rechnung 1-03700</t>
  </si>
  <si>
    <t>Produktankündigung Mesh Wi-Fi Extender 2700 Edition International in PL</t>
  </si>
  <si>
    <t>Rechnung I-03719</t>
  </si>
  <si>
    <t>MyFRITZIApp_Android_de-pl_sl</t>
  </si>
  <si>
    <t>Rechnung 1-03720</t>
  </si>
  <si>
    <t>Datenschutzerklaerung_Update_de-pi</t>
  </si>
  <si>
    <t>Rechnung I-03721</t>
  </si>
  <si>
    <t>TK_Kurzanleitung_de-pt</t>
  </si>
  <si>
    <t>Rechnung 1-03722</t>
  </si>
  <si>
    <t>6_Dateien_zum_FRITZ!Mesh_Set_2700 DE-PL</t>
  </si>
  <si>
    <t>Rechnung 1-03723</t>
  </si>
  <si>
    <t>GUI_0000_12.1100.1.5_translate-from-de_Korrektur_de-pl</t>
  </si>
  <si>
    <t>Rechnung 1-03724</t>
  </si>
  <si>
    <t>GUI_PO_de-sl+pl</t>
  </si>
  <si>
    <t>Rechnung 1-03725</t>
  </si>
  <si>
    <t>KS_FRITZ!-Benutzeroberflächen ins Slowenische</t>
  </si>
  <si>
    <t>Rechnung 1-03735</t>
  </si>
  <si>
    <t>FRi 100_2508_KS_Booklet_FRITZ!Box_6825_4G_de-pl</t>
  </si>
  <si>
    <t>Rechnung 1-03736</t>
  </si>
  <si>
    <t>Neue FRITZ!App Smart Horne für OS: de =&gt; pl</t>
  </si>
  <si>
    <t>Rechnung 1-03734</t>
  </si>
  <si>
    <t>Rechnung 1-03733</t>
  </si>
  <si>
    <t>SS095_2508_KS_Shopify_Seite_de-pl_Stand_25.08.2025</t>
  </si>
  <si>
    <t>Rechnung I-03731</t>
  </si>
  <si>
    <t>KS_FRITZ!App WLAN für Android: de =&gt;sl</t>
  </si>
  <si>
    <t>Rechnung 1-03732</t>
  </si>
  <si>
    <t>Produktankündigungen FRITZ!Repeater 1700 + 2700: de =&gt;pl</t>
  </si>
  <si>
    <t>Rechnung 1-03738</t>
  </si>
  <si>
    <t>2508_KS_FRITZ!App Fon für OS: de =&gt; sl</t>
  </si>
  <si>
    <t>Rechnung 1-03737</t>
  </si>
  <si>
    <t>KS_FRITZ!App Fon für OS: de =&gt; pl</t>
  </si>
  <si>
    <t>Rechnung 1-03739</t>
  </si>
  <si>
    <t>KS_Datenschutzerklärung für die Apps (SL und PL)</t>
  </si>
  <si>
    <t>Rechnung 1-03740</t>
  </si>
  <si>
    <t>2508_KS_1. Runde Wissensdatenbankdateien: de =&gt;pl</t>
  </si>
  <si>
    <t>Rechnung 1-03743</t>
  </si>
  <si>
    <t>KS_FRITZIApp-Library für Android: de =&gt; pl, de =&gt; sl</t>
  </si>
  <si>
    <t>Rechnung 1-03742</t>
  </si>
  <si>
    <t>FRITZ!App Fon für Android: de =&gt;sl</t>
  </si>
  <si>
    <t>Rechnung I-03741</t>
  </si>
  <si>
    <t>1 Satz und eine Schaltfläche für FRITZ!Fon: de =&gt; pl</t>
  </si>
  <si>
    <t>Rechnung 1-03779</t>
  </si>
  <si>
    <t>13. Runde FRITZ!BoxGUI_de-pl_sl</t>
  </si>
  <si>
    <t>Rechnung 1-03778</t>
  </si>
  <si>
    <t>TK_FappFundamentals-Android_de-sl</t>
  </si>
  <si>
    <t>Rechnung 1-03774</t>
  </si>
  <si>
    <t>Rechnung 1-03773</t>
  </si>
  <si>
    <t>KS_Info-Text_MyFRITZIApp_de-sl</t>
  </si>
  <si>
    <t>Rechnung 1-03772</t>
  </si>
  <si>
    <t>FRITZ!App Smart Home: de =&gt;pl</t>
  </si>
  <si>
    <t>Rechnung I-03771</t>
  </si>
  <si>
    <t>_Produktseiten_FRITZ!Repeater+FRIT!Mesh_Sets_de-pi</t>
  </si>
  <si>
    <t>Rechnung 1-03794</t>
  </si>
  <si>
    <t>Runde Wissensdatenbankdateien</t>
  </si>
  <si>
    <t>Rechnung 1-03795</t>
  </si>
  <si>
    <t>FRITZ!App Smart Horne für Android: de =&gt;sl</t>
  </si>
  <si>
    <t>Rechnung 1-03797</t>
  </si>
  <si>
    <t>Check_KA_6850_5G_v2_de-pl</t>
  </si>
  <si>
    <t>Rechnung 1-03796</t>
  </si>
  <si>
    <t>KS_Data Act FRITZ!Box: de =&gt; pl</t>
  </si>
  <si>
    <t>Rechnung 1-03798</t>
  </si>
  <si>
    <t>Produktankündigung FRITZ!Repeater 1600: de =&gt; pl</t>
  </si>
  <si>
    <t>Rechnung 1-03799</t>
  </si>
  <si>
    <t>Runde "alte" GUI: de =&gt; pl, de =&gt; sl</t>
  </si>
  <si>
    <t>Rechnung I-03801</t>
  </si>
  <si>
    <t>Text für den App Store für die FRITZ!App Fon: de =&gt; sl</t>
  </si>
  <si>
    <t>Rechnung 1-03800</t>
  </si>
  <si>
    <t>15. Runde FRITZ!Box GUI (JS3): de =&gt; pl, de =&gt; sl</t>
  </si>
  <si>
    <t>Rechnung 1-03802</t>
  </si>
  <si>
    <t>FRITZ!App WLAN für iOS: de=&gt; sl</t>
  </si>
  <si>
    <t>Rechnung 1-03803</t>
  </si>
  <si>
    <t>FRITZ!App TV für Android: de =&gt;sl</t>
  </si>
  <si>
    <t>Rechnung I-03814</t>
  </si>
  <si>
    <t>FRi 122_2509_KS_Shopify_de-es</t>
  </si>
  <si>
    <t>908.54</t>
  </si>
  <si>
    <t>Rechnung I-03815</t>
  </si>
  <si>
    <t>Runde Wissensdatenbankdateien: de =&gt;pl</t>
  </si>
  <si>
    <t>Rechnung I-03816</t>
  </si>
  <si>
    <t>Rechnung I-03817</t>
  </si>
  <si>
    <t>FRl129_2509_KS_Data Act für Repeater und Powerline-Geräte: de =&gt;pl, de=&gt; sl</t>
  </si>
  <si>
    <t>Rechnung I-03818</t>
  </si>
  <si>
    <t>FRITZ!App WLAN für iOS: de=&gt; pi, de=&gt; sl</t>
  </si>
  <si>
    <t>Rechnung I-03819</t>
  </si>
  <si>
    <t>4. Runde Wissensdatenbankdateien: de =&gt;pl</t>
  </si>
  <si>
    <t>Rechnung 1-03820</t>
  </si>
  <si>
    <t>Rechnung I-03821</t>
  </si>
  <si>
    <t>FRITZ!App Smart Horne für OS: de =&gt;sl</t>
  </si>
  <si>
    <t>Rechnung 1-03822</t>
  </si>
  <si>
    <t>Texte für den App Store: de =&gt;sl</t>
  </si>
  <si>
    <t>Rechnung 1-03823</t>
  </si>
  <si>
    <t>KS_Service &amp; Support: de =&gt; pl, de =&gt; sl</t>
  </si>
  <si>
    <t>Rechnung 1-03836</t>
  </si>
  <si>
    <t>Produktankündigung FRITZ!Mesh Wi-Fi Set 1700 Edition International: de =&gt;pl</t>
  </si>
  <si>
    <t>Rechnung 1-03835</t>
  </si>
  <si>
    <t>Rechnung 1-03834</t>
  </si>
  <si>
    <t>Wissensdatenbankdateien - Aktualisierungen: de =&gt;pl</t>
  </si>
  <si>
    <t>Rechnung 1-03850</t>
  </si>
  <si>
    <t>TK_Newsletter_de-pl</t>
  </si>
  <si>
    <t>Rechnung 1-03872</t>
  </si>
  <si>
    <t>ransparenzregisterauszug_beglaubigte_Uebersetzung_de-enGB</t>
  </si>
  <si>
    <t>Rechnung I-03871</t>
  </si>
  <si>
    <t>KS_FappWLAN_20251002-de-pl+sl</t>
  </si>
  <si>
    <t>Rechnung 1-03883</t>
  </si>
  <si>
    <t>Auszuege_KA_6670_de-pl</t>
  </si>
  <si>
    <t>Rechnung 1-03882</t>
  </si>
  <si>
    <t>KS_7. Runde "alte" GUl: de =&gt;sl</t>
  </si>
  <si>
    <t>Rechnung I-03881</t>
  </si>
  <si>
    <t>alte GUI: de =&gt; pl</t>
  </si>
  <si>
    <t>Rechnung I-03891</t>
  </si>
  <si>
    <t>FRl152_2510_KS_MyFRITZ!App für OS: de =&gt;sl</t>
  </si>
  <si>
    <t>Rechnung 1-03890</t>
  </si>
  <si>
    <t>FRi 150_2510_KS_Wissensdatenbankdateien - Aktualisierungen2 de =&gt;pl</t>
  </si>
  <si>
    <t>Rechnung 1-03896</t>
  </si>
  <si>
    <t>FRi 141_2510_TK_MyFRITZIApp_de-pl_sl</t>
  </si>
  <si>
    <t>Rechnung 1-03897</t>
  </si>
  <si>
    <t>FRi 142_2510_TK_MyFRITZIApp_de-sl</t>
  </si>
  <si>
    <t>Rechnung 1-03898</t>
  </si>
  <si>
    <t>FRl143_2510_TK_16. Runde FRITZ!Box GUI (JS3)_de-pl</t>
  </si>
  <si>
    <t>Rechnung 1-03900</t>
  </si>
  <si>
    <t>FRI145_2510_TK_Amazon-Text_de-pl</t>
  </si>
  <si>
    <t>Rechnung 1-03899</t>
  </si>
  <si>
    <t>FRl144_2510_TK_16. Runde FRITZ!Box GUI (JS3)_de-sl</t>
  </si>
  <si>
    <t>Rechnung I-03901</t>
  </si>
  <si>
    <t>FRl146_2510_TK_16. Runde FRITZ!Box GUI (JS3)_de-pl</t>
  </si>
  <si>
    <t>Rechnung 1-03902</t>
  </si>
  <si>
    <t>FRl147_2510_TK_16. Runde FRITZ!Box GUI (JS3)_de-sl</t>
  </si>
  <si>
    <t>Rechnung 1-03903</t>
  </si>
  <si>
    <t>FRi 148_251 0_TK_Produktankündigung_FRITZ!MeshSet-2700_de-pl</t>
  </si>
  <si>
    <t>Rechnung 1-03927</t>
  </si>
  <si>
    <t>FRl157_2511_KS_FRITZ!App WLAN für iOS: de=&gt; pi</t>
  </si>
  <si>
    <t>Rechnung I-03926</t>
  </si>
  <si>
    <t>FRl157_2511_KS_FRITZ!App WLAN für iOS: de=&gt; sl</t>
  </si>
  <si>
    <t>Rechnung 1-03928</t>
  </si>
  <si>
    <t>FRl159_2511_KS_FRITZ!App Smart Horne für OS: de =&gt; pl</t>
  </si>
  <si>
    <t>Rechnung 1-03924</t>
  </si>
  <si>
    <t>FRl154_2510_KS_17. Runde FRITZ!Box GUI (JS3): de =&gt; pl</t>
  </si>
  <si>
    <t>Rechnung 1-03925</t>
  </si>
  <si>
    <t>FRl155_2511_KS_Produktankündigung FRITZ!Fon M3: de=&gt; pi</t>
  </si>
  <si>
    <t>Rechnung 1-03923</t>
  </si>
  <si>
    <t>FRl154_2510_KS_17. Runde FRITZ!Box GUI (JS3): de =&gt; sl</t>
  </si>
  <si>
    <t>Rechnung 1-03922</t>
  </si>
  <si>
    <t>FRl153_2510_KS_Juristische Texte: de =&gt; en (uk) inkl. Beglaubigung</t>
  </si>
  <si>
    <t>Rechnung I-03927</t>
  </si>
  <si>
    <t>Rechnung 1-03929</t>
  </si>
  <si>
    <t>FRl159_2511_KS_FRITZ!App Smart Horne für OS: de =&gt;sl</t>
  </si>
  <si>
    <t>Rechnung I-03931</t>
  </si>
  <si>
    <t>FRl160_2511_KS_Neue FRITZ!App Smart Horne für Android: de=&gt;sl</t>
  </si>
  <si>
    <t>Rechnung 1-03930</t>
  </si>
  <si>
    <t>FRl160_2511_KS_Neue FRITZ!App Smart Horne für Android: de =&gt;pl</t>
  </si>
  <si>
    <t>Rechnung 1-03932</t>
  </si>
  <si>
    <t>FRl161_2511_KS_AGBs für fritz.com: de =&gt; es</t>
  </si>
  <si>
    <t>Rechnung 1-03936</t>
  </si>
  <si>
    <t>FRl158_2511_TK_Booklet_FRITZ!WLAN Stick 6700_de-pt</t>
  </si>
  <si>
    <t>Rechnung 1-03937</t>
  </si>
  <si>
    <t>FRI162_2511_KS_Amazon-Text: de =&gt; pl</t>
  </si>
  <si>
    <t>Rechnung 1-03938</t>
  </si>
  <si>
    <t>FRl163_2511_KS_Neue MyFRITZ!App für iOS: de=&gt; pi</t>
  </si>
  <si>
    <t>Rechnung 1-03939</t>
  </si>
  <si>
    <t>FRl163_2511_KS_Neue MyFRITZ!App für OS: de =&gt; sl</t>
  </si>
  <si>
    <t>Rechnung I-03940</t>
  </si>
  <si>
    <t>FRl164_2511_KS_8. Runde "alte" GUl: de =&gt;sl</t>
  </si>
  <si>
    <t>Rechnung I-03941</t>
  </si>
  <si>
    <t>FRl164_2511_KS_8. Runde "alte" GUI: de =&gt; pl</t>
  </si>
  <si>
    <t>Rechnung I-03989</t>
  </si>
  <si>
    <t>FRl165_2511_KS_18. Runde FRITZ!Box GUI (JS3): de =&gt; pl</t>
  </si>
  <si>
    <t>Rechnung I-03990</t>
  </si>
  <si>
    <t>FRl165_2511_KS_18. Runde FRITZ!Box GUI (JS3): de =&gt; sl</t>
  </si>
  <si>
    <t>Rechnung I-03991</t>
  </si>
  <si>
    <t>FRl167_2512_KS_9. Runde "alte" GUl: de =&gt;sl</t>
  </si>
  <si>
    <t>Rechnung I-03992</t>
  </si>
  <si>
    <t>FRl167_2512_KS_9. Runde "alte" GUl: de =&gt;pl</t>
  </si>
  <si>
    <t>Rechnung I-03993</t>
  </si>
  <si>
    <t>FRl166_2512_KS_Produktankündigung FRITZ!Box 6825 4G: de =&gt; pl</t>
  </si>
  <si>
    <t>Rechnung I-03994</t>
  </si>
  <si>
    <t>FRl168_2512_KS_Runde 9a für "alte" GUl: de =&gt;pl</t>
  </si>
  <si>
    <t>Rechnung I-03995</t>
  </si>
  <si>
    <t>FRl168_2512_KS_Runde 9a für "alte" GUl: de =&gt;sl</t>
  </si>
  <si>
    <t>Rechnung I-03996</t>
  </si>
  <si>
    <t>FRl169_2512_KS_MyFRITZ! für Android: de =&gt;pl</t>
  </si>
  <si>
    <t>Rechnung I-03997</t>
  </si>
  <si>
    <t>FRl169_2512_KS_MyFRITZ! für Android: de =&gt;sl</t>
  </si>
  <si>
    <t>Rechnung I-03998</t>
  </si>
  <si>
    <t>FRI170_2512KS_Amazon-Texte: de =&gt; pl</t>
  </si>
  <si>
    <t>Rechnung I-03999</t>
  </si>
  <si>
    <t>FRl171_2512_KS_MyFRITZ!App für Android: de=&gt;sl</t>
  </si>
  <si>
    <t>Rechnung I-04000</t>
  </si>
  <si>
    <t>FRl171_2512_KS_MyFRITZ!App für Android: de =&gt;pl</t>
  </si>
  <si>
    <t>Rechnung I-04001</t>
  </si>
  <si>
    <t>FRl172_2512_KS_19. Runde FRITZ!Box GUI (JS3): de =&gt;pl</t>
  </si>
  <si>
    <t>Rechnung I-04002</t>
  </si>
  <si>
    <t>FRl172_2512_KS_19. Runde FRITZ!Box GUI (JS3): de =&gt;sl</t>
  </si>
  <si>
    <t>Rechnung I-04003</t>
  </si>
  <si>
    <t>FRl173_2512_KS_Letzte Amazon-Runde für dieses Jahr: de =&gt; pl</t>
  </si>
  <si>
    <t>Rechnung I-04004</t>
  </si>
  <si>
    <t>FRl175_2512_KS_20. Runde FRITZ!Box GUI (JS3): de =&gt; pl</t>
  </si>
  <si>
    <t>Rechnung I-04005</t>
  </si>
  <si>
    <t>FRl175_2512_KS_20. Runde FRITZ!Box GUI (JS3): de =&gt; sl</t>
  </si>
  <si>
    <t>Rechnung I-04042</t>
  </si>
  <si>
    <t>FRi 176_2512_TK_Blog-Beitraege_de-nl</t>
  </si>
  <si>
    <t>Rechnung RE1262</t>
  </si>
  <si>
    <t>Veschiedene Aufträge (Februar.2025)</t>
  </si>
  <si>
    <t>Rechnung RE1275</t>
  </si>
  <si>
    <t>Veschiedene Aufträge (01.03.2025-30.04.2025)</t>
  </si>
  <si>
    <t>Rechnung RE1280</t>
  </si>
  <si>
    <t>Veschiedene Aufträge (mai)</t>
  </si>
  <si>
    <t>Rechnung RE1296</t>
  </si>
  <si>
    <t>Veschiedene Aufträge (juli)</t>
  </si>
  <si>
    <t>Rechnung RE1300</t>
  </si>
  <si>
    <t>Veschiedene Aufträge (august)</t>
  </si>
  <si>
    <t>Rechnung RE1308</t>
  </si>
  <si>
    <t>Veschiedene Aufträge (september)</t>
  </si>
  <si>
    <t>Rechnung RE1311</t>
  </si>
  <si>
    <t>Veschiedene Aufträge (oktober)</t>
  </si>
  <si>
    <t>Rechnung RE1318</t>
  </si>
  <si>
    <t>Newslettertexte NL.</t>
  </si>
  <si>
    <t>2025-0003</t>
  </si>
  <si>
    <t>verschieden Aufträge</t>
  </si>
  <si>
    <t>Marta Vicario</t>
  </si>
  <si>
    <t>2025-0014</t>
  </si>
  <si>
    <t>2025-0023</t>
  </si>
  <si>
    <t>2025-0024</t>
  </si>
  <si>
    <t>Business Portal</t>
  </si>
  <si>
    <t>2025-0025</t>
  </si>
  <si>
    <t>2025-0026</t>
  </si>
  <si>
    <t>2025-0040</t>
  </si>
  <si>
    <t>2025-0057</t>
  </si>
  <si>
    <t>2025-0073</t>
  </si>
  <si>
    <t>verschieden Aufträge BP</t>
  </si>
  <si>
    <t>2025-0078</t>
  </si>
  <si>
    <t>2025-0091</t>
  </si>
  <si>
    <t>Ankuendigung_Mesh_Wi-Fi_Set_2700</t>
  </si>
  <si>
    <t>2025-0092</t>
  </si>
  <si>
    <t>Amazon_Int_Übersetzungen</t>
  </si>
  <si>
    <t>Rechnung Nr. 2507</t>
  </si>
  <si>
    <t>Marketing und Presse-Online</t>
  </si>
  <si>
    <t>Rechnung Nr. 2508</t>
  </si>
  <si>
    <t>Rechnung Nr. 2516</t>
  </si>
  <si>
    <t>NewsletterIT_Maerz_2025</t>
  </si>
  <si>
    <t>Rechnung Nr. 2518</t>
  </si>
  <si>
    <t>Web (verschiedene Aufträge von Martine)</t>
  </si>
  <si>
    <t>Rechnung Nr. 2517</t>
  </si>
  <si>
    <t>Channel und BP</t>
  </si>
  <si>
    <t>Rechnung Nr. 2520</t>
  </si>
  <si>
    <t>2 02 5 03 2 0_Ankuendigung_AVM_ F. SchaareMeshSetl60 0_Edition_INTde.docx</t>
  </si>
  <si>
    <t>Rechnung Nr. 2521</t>
  </si>
  <si>
    <t>Bussiness Portal</t>
  </si>
  <si>
    <t>Rechnung Nr. 2522</t>
  </si>
  <si>
    <t>Webseite</t>
  </si>
  <si>
    <t>Rechnung Nr. 2523</t>
  </si>
  <si>
    <t>Apps, Marketing. MyFRITZ!</t>
  </si>
  <si>
    <t>Rechnung Nr. 2524</t>
  </si>
  <si>
    <t>Presse/Internet</t>
  </si>
  <si>
    <t>Rechnung Nr. 2525</t>
  </si>
  <si>
    <t>Marketingkommunikation/Presse Internet</t>
  </si>
  <si>
    <t>Rechnung Nr. 2528</t>
  </si>
  <si>
    <t>Marketingkommunikation</t>
  </si>
  <si>
    <t>Rechnung Nr. 2529</t>
  </si>
  <si>
    <t>Rechnung Nr. 25279</t>
  </si>
  <si>
    <t>Rechnung Nr. 2532</t>
  </si>
  <si>
    <t>Rechnung Nr. 2531</t>
  </si>
  <si>
    <t>Rechnung Nr. 2533</t>
  </si>
  <si>
    <t>Rechnung Nr. 2537</t>
  </si>
  <si>
    <t>Marketingkommunikation und D2C</t>
  </si>
  <si>
    <t>Rechnung Nr. 2535</t>
  </si>
  <si>
    <t>Rechnung Nr. 2536</t>
  </si>
  <si>
    <t>BP</t>
  </si>
  <si>
    <t>Rechnung Nr. 2539</t>
  </si>
  <si>
    <t>Shopify und BP</t>
  </si>
  <si>
    <t>Rechnung Nr. 2541</t>
  </si>
  <si>
    <t>Marketingkommunikation/FRITZ!con/FRITZ!App</t>
  </si>
  <si>
    <t>Rechnung Nr. 2542</t>
  </si>
  <si>
    <t>Rechnung Nr. 2543</t>
  </si>
  <si>
    <t>Shopify und Booklet</t>
  </si>
  <si>
    <t>Rechnung Nr. 2545</t>
  </si>
  <si>
    <t>Shopify und Newsletter</t>
  </si>
  <si>
    <t>KOM-Übersetzungsmanegment</t>
  </si>
  <si>
    <t>Rechnung RE1176</t>
  </si>
  <si>
    <t>Partner Portal</t>
  </si>
  <si>
    <t>Rechnung RE1203</t>
  </si>
  <si>
    <t>Rechnung RE1215</t>
  </si>
  <si>
    <t>GUI</t>
  </si>
  <si>
    <t>Rechnung RE1227</t>
  </si>
  <si>
    <t>Produktankündigung</t>
  </si>
  <si>
    <t>Rechnung Nr. 2402</t>
  </si>
  <si>
    <t>Rechnung Nr. 2403</t>
  </si>
  <si>
    <t>Rechnung Nr. 2407</t>
  </si>
  <si>
    <t>Rechnung Nr. 2408</t>
  </si>
  <si>
    <t>Rechnung Nr. 2412</t>
  </si>
  <si>
    <t>Partner Portal und Produktankündigung</t>
  </si>
  <si>
    <t>Rechnung Nr. 2417</t>
  </si>
  <si>
    <t>Rechnung Nr. 2429</t>
  </si>
  <si>
    <t>Rechnung Nr. 2430</t>
  </si>
  <si>
    <t>Rechnung Nr. 2435</t>
  </si>
  <si>
    <t>Rechnung Nr. 2434</t>
  </si>
  <si>
    <t>Rechnung Nr. 2437</t>
  </si>
  <si>
    <t>Rechnung Nr. 2439</t>
  </si>
  <si>
    <t>Rechnung Nr. 2441</t>
  </si>
  <si>
    <t>GUI, Apps, Partner-Portal</t>
  </si>
  <si>
    <t>Rechnung Nr. 2446</t>
  </si>
  <si>
    <t>Rechnung Nr. 2450</t>
  </si>
  <si>
    <t>Rechnung Nr. 2451</t>
  </si>
  <si>
    <t>Rechnung Nr. 2452</t>
  </si>
  <si>
    <t>GUI, Marketingkommunikation, Apps, MyFRITZ!</t>
  </si>
  <si>
    <t>Rechnung Nr. 2454</t>
  </si>
  <si>
    <t>Rechnung Nr. 2456</t>
  </si>
  <si>
    <t>Rechnung Nr. 2024-00038</t>
  </si>
  <si>
    <t>AVM Webseite</t>
  </si>
  <si>
    <t>Rechnung Nr. AVM-0324-01</t>
  </si>
  <si>
    <t>Kate Simmons</t>
  </si>
  <si>
    <t>Rechnung I-02630</t>
  </si>
  <si>
    <t>Rechnung I-02633</t>
  </si>
  <si>
    <t>Apps</t>
  </si>
  <si>
    <t>Rechnung I-02636</t>
  </si>
  <si>
    <t>Rechnung I-02655</t>
  </si>
  <si>
    <t>Rechnung I-02665</t>
  </si>
  <si>
    <t>Rechnung I-02666</t>
  </si>
  <si>
    <t>Rechnung I-02667</t>
  </si>
  <si>
    <t>Rechnung I-02669</t>
  </si>
  <si>
    <t>KA</t>
  </si>
  <si>
    <t>Rechnung I-02670</t>
  </si>
  <si>
    <t>Rechtliche Hinweise</t>
  </si>
  <si>
    <t>Rechnung I-02671</t>
  </si>
  <si>
    <t>Rechnung I-02697</t>
  </si>
  <si>
    <t>Rechnung I-02698</t>
  </si>
  <si>
    <t>Rechnung I-02704</t>
  </si>
  <si>
    <t>Rechnung I-02705</t>
  </si>
  <si>
    <t>Rechnung I-02711</t>
  </si>
  <si>
    <t>KA Repeater 600</t>
  </si>
  <si>
    <t>Rechnung I-02712</t>
  </si>
  <si>
    <t>Rechnung I-02715</t>
  </si>
  <si>
    <t>Rechnung I-02717</t>
  </si>
  <si>
    <t>Rechnung I-02729</t>
  </si>
  <si>
    <t>Produkankündigung</t>
  </si>
  <si>
    <t>Rechnung I-02759</t>
  </si>
  <si>
    <t>Rechnung I-02760</t>
  </si>
  <si>
    <t>Datenschutzgrundverordnung</t>
  </si>
  <si>
    <t>Rechnung I-02763</t>
  </si>
  <si>
    <t>Rechnung I-02764</t>
  </si>
  <si>
    <t>Rechnung I-02770</t>
  </si>
  <si>
    <t>Rechnung I-02798</t>
  </si>
  <si>
    <t>Rechnung I-02812</t>
  </si>
  <si>
    <t>FRITZ!Fon-Display-Texte</t>
  </si>
  <si>
    <t>Rechnung I-02851</t>
  </si>
  <si>
    <t>Rechnung I-02852</t>
  </si>
  <si>
    <t>Rechnung I-02853</t>
  </si>
  <si>
    <t>FRITZ!DECT 440-Display-Texte</t>
  </si>
  <si>
    <t>Rechnung I-02854</t>
  </si>
  <si>
    <t>Rechnung I-02855</t>
  </si>
  <si>
    <t>Rechnung I-02856</t>
  </si>
  <si>
    <t>Rechnung I-02858</t>
  </si>
  <si>
    <t>Fallback-Seite für Apps</t>
  </si>
  <si>
    <t>Rechnung I-02859</t>
  </si>
  <si>
    <t>Rechnung I-02878</t>
  </si>
  <si>
    <t>FRITZ!DECT 302: de</t>
  </si>
  <si>
    <t>Rechnung I-02879</t>
  </si>
  <si>
    <t>Rechnung I-02910</t>
  </si>
  <si>
    <t>Rechnung I-02911</t>
  </si>
  <si>
    <t>Gui_JS3</t>
  </si>
  <si>
    <t>Rechnung I-02913</t>
  </si>
  <si>
    <t>Nachtrag für die GUI</t>
  </si>
  <si>
    <t>Rechnung I-02914</t>
  </si>
  <si>
    <t>Rechnung 1-02920</t>
  </si>
  <si>
    <t>Rechnung I-02921</t>
  </si>
  <si>
    <t>Rechnung I-02922</t>
  </si>
  <si>
    <t>Rechnung I-02923</t>
  </si>
  <si>
    <t>Rechnung I-02926</t>
  </si>
  <si>
    <t>Rechnung 1-02927</t>
  </si>
  <si>
    <t>Rechnung I-02928</t>
  </si>
  <si>
    <t>Rechnung I-02929</t>
  </si>
  <si>
    <t>Rechnung 1-02930</t>
  </si>
  <si>
    <t>Rechnung I-02967</t>
  </si>
  <si>
    <t>Rechnung 1-02989</t>
  </si>
  <si>
    <t>Kurzanleitung</t>
  </si>
  <si>
    <t>Rechnung I-02990</t>
  </si>
  <si>
    <t>Rechnung I-02991</t>
  </si>
  <si>
    <t>Rechnung I-03013</t>
  </si>
  <si>
    <t>Rechnung I-03015</t>
  </si>
  <si>
    <t>Rechnung I-03016</t>
  </si>
  <si>
    <t>Rechnung 1-03030</t>
  </si>
  <si>
    <t>Rechnung I-03031</t>
  </si>
  <si>
    <t>Rechnung I-03055</t>
  </si>
  <si>
    <t>FRITZ!DECT</t>
  </si>
  <si>
    <t>Rechnung I-03057</t>
  </si>
  <si>
    <t>Rechnung I-03072</t>
  </si>
  <si>
    <t>Rechnung 1-03073</t>
  </si>
  <si>
    <t>Rechnung I-03074</t>
  </si>
  <si>
    <t>Rechnung I-03107</t>
  </si>
  <si>
    <t>Datenschutzerklaerung</t>
  </si>
  <si>
    <t>Rechnung I-03108</t>
  </si>
  <si>
    <t>Rechnung I-03109</t>
  </si>
  <si>
    <t>Rechnung I-03110</t>
  </si>
  <si>
    <t>Rechnung I-03111</t>
  </si>
  <si>
    <t>Rechnung I-03112</t>
  </si>
  <si>
    <t>Rechnung 1-03208</t>
  </si>
  <si>
    <t>Datenschutz-Webseiten-SM</t>
  </si>
  <si>
    <t>Rechnung 1-03209</t>
  </si>
  <si>
    <t>GUI JS3</t>
  </si>
  <si>
    <t>Rechnung I-03230</t>
  </si>
  <si>
    <t>Rechnung 1-03232</t>
  </si>
  <si>
    <t>2024-00046</t>
  </si>
  <si>
    <t>Produktankündigungen</t>
  </si>
  <si>
    <t>GESAMT</t>
  </si>
  <si>
    <t>PROZENTUAL</t>
  </si>
  <si>
    <t>KOM-Online</t>
  </si>
  <si>
    <t>Rechnung RE1145</t>
  </si>
  <si>
    <t>Rechnung  RE1161</t>
  </si>
  <si>
    <t>Rechnung RE1167</t>
  </si>
  <si>
    <t>Rechnung RE1179</t>
  </si>
  <si>
    <t>Rechnung RE1187</t>
  </si>
  <si>
    <t>Rechnung RE1192</t>
  </si>
  <si>
    <t>Rechnung RE1216</t>
  </si>
  <si>
    <t>Rechnung RE1219</t>
  </si>
  <si>
    <t>Pressemitteilung</t>
  </si>
  <si>
    <t>Rechnung RE1218</t>
  </si>
  <si>
    <t>Rechnung RE1228</t>
  </si>
  <si>
    <t>Rechnung RE1242</t>
  </si>
  <si>
    <t>Rechnung R240308</t>
  </si>
  <si>
    <t>English Rose</t>
  </si>
  <si>
    <t>Rechnung R240318</t>
  </si>
  <si>
    <t>Rechnung Nr. 2401</t>
  </si>
  <si>
    <t>Rechnung Nr. 2406</t>
  </si>
  <si>
    <t>Rechnung Nr. 2413</t>
  </si>
  <si>
    <t>Rechnung Nr. 2418</t>
  </si>
  <si>
    <t>Rechnung Nr. 2428</t>
  </si>
  <si>
    <t>Rechnung Nr. 2433</t>
  </si>
  <si>
    <t>Rechnung Nr. 2438</t>
  </si>
  <si>
    <t>Rechnung Nr. 2442</t>
  </si>
  <si>
    <t>Rechnung Nr. 2444</t>
  </si>
  <si>
    <t>FRITZ!Folder</t>
  </si>
  <si>
    <t>Rechnung Nr. 2445</t>
  </si>
  <si>
    <t>Rechnung Nr. 2449</t>
  </si>
  <si>
    <t>Rechnung Nr. 2455</t>
  </si>
  <si>
    <t>Rechnungsnummer 565</t>
  </si>
  <si>
    <t>Richtlinie Kartellrecht</t>
  </si>
  <si>
    <t>Tyler Langendorfer</t>
  </si>
  <si>
    <t>Rechnung Nr. 2024-00029</t>
  </si>
  <si>
    <t>Rechnung I-02631</t>
  </si>
  <si>
    <t>Rechnung I-02632</t>
  </si>
  <si>
    <t>Rechnung I-02634</t>
  </si>
  <si>
    <t>Rechnung I-02635</t>
  </si>
  <si>
    <t>Rechnung I-02656</t>
  </si>
  <si>
    <t>Rechnung I-02664</t>
  </si>
  <si>
    <t>Rechnung I-02668</t>
  </si>
  <si>
    <t>Rechnung I-02701</t>
  </si>
  <si>
    <t>Rechnung I-02702</t>
  </si>
  <si>
    <t>Rechnung I-02703</t>
  </si>
  <si>
    <t>Rechnung I-02706</t>
  </si>
  <si>
    <t>Rechnung I-02713</t>
  </si>
  <si>
    <t>Rechnung I-02714</t>
  </si>
  <si>
    <t>Rechnung I-02716</t>
  </si>
  <si>
    <t>Rechnung I-02718</t>
  </si>
  <si>
    <t>Rechnung I-02728</t>
  </si>
  <si>
    <t>Rechnung I-02730</t>
  </si>
  <si>
    <t>Rechnung I-02754</t>
  </si>
  <si>
    <t>Rechnung I-02761</t>
  </si>
  <si>
    <t>Rechnung I-02762</t>
  </si>
  <si>
    <t>Rechnung I-02799</t>
  </si>
  <si>
    <t>Rechnung I-02800</t>
  </si>
  <si>
    <t>Rechnung I-02801</t>
  </si>
  <si>
    <t>Rechnung I-02802</t>
  </si>
  <si>
    <t>Rechnung I-02810</t>
  </si>
  <si>
    <t>Rechnung I-02811</t>
  </si>
  <si>
    <t>Rechnung I-02813</t>
  </si>
  <si>
    <t>Rechnung I-02815</t>
  </si>
  <si>
    <t>Rechnung I-02816</t>
  </si>
  <si>
    <t>Rechnung I-02817</t>
  </si>
  <si>
    <t>Rechnung I-02818</t>
  </si>
  <si>
    <t>Rechnung I-02819</t>
  </si>
  <si>
    <t>Rechnung I-02850</t>
  </si>
  <si>
    <t>Rechnung I-02857</t>
  </si>
  <si>
    <t>Rechnung I-02860</t>
  </si>
  <si>
    <t>Rechnung 1-02899</t>
  </si>
  <si>
    <t>Rechnung 1-02918</t>
  </si>
  <si>
    <t>Rechnung 1-02919</t>
  </si>
  <si>
    <t>Rechnung 1-02924</t>
  </si>
  <si>
    <t>Rechnung 1-02925</t>
  </si>
  <si>
    <t>Rechnung 1-02981</t>
  </si>
  <si>
    <t>Rechnung 1-02982</t>
  </si>
  <si>
    <t>Rechnung 1-02983</t>
  </si>
  <si>
    <t>Rechnung 1-02988</t>
  </si>
  <si>
    <t>Rechnung 1-03012</t>
  </si>
  <si>
    <t>Rechnung 1-03014</t>
  </si>
  <si>
    <t>Rechnung 1-03028</t>
  </si>
  <si>
    <t>Rechnung 1-03029</t>
  </si>
  <si>
    <t>Rechnung 1-03056</t>
  </si>
  <si>
    <t>Rechnung 1-03071</t>
  </si>
  <si>
    <t>Rechnung 1-03205</t>
  </si>
  <si>
    <t>Rechnung 1-03206</t>
  </si>
  <si>
    <t>Rechnung I-03231</t>
  </si>
  <si>
    <t>2024-0004</t>
  </si>
  <si>
    <t>2024-00011</t>
  </si>
  <si>
    <t>2024-00018</t>
  </si>
  <si>
    <t>2024-00029</t>
  </si>
  <si>
    <t>2024-00038</t>
  </si>
  <si>
    <t>Webseite und Partnerportal</t>
  </si>
  <si>
    <t>2024-00051</t>
  </si>
  <si>
    <t>2024-00059</t>
  </si>
  <si>
    <t>E 106/2024 hd</t>
  </si>
  <si>
    <t>DAL TON-STEIN &amp; WITTGREBE</t>
  </si>
  <si>
    <t>Rechnung 565</t>
  </si>
  <si>
    <t>Rechnung 1-03207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</si>
</sst>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&quot;$&quot;#,##0.00"/>
    <numFmt numFmtId="166" formatCode="d\.m\.yyyy;@"/>
    <numFmt numFmtId="167" formatCode="_([$€-2]\ * #,##0.00_);_([$€-2]\ * \(#,##0.00\);_([$€-2]\ 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F! Interphases Pro Black"/>
      <family val="2"/>
    </font>
    <font>
      <sz val="11"/>
      <color rgb="FF000000"/>
      <name val="Calibri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CC2E5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14" fontId="1" fillId="0" borderId="0" xfId="0" applyNumberFormat="1" applyFont="1"/>
    <xf numFmtId="10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vertical="center" wrapText="1"/>
    </xf>
    <xf numFmtId="8" fontId="4" fillId="0" borderId="0" xfId="0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7" fontId="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7" fillId="0" borderId="0" xfId="0" applyFont="1"/>
    <xf numFmtId="0" fontId="0" fillId="0" borderId="0" xfId="0" applyAlignment="1">
      <alignment horizontal="right"/>
    </xf>
    <xf numFmtId="167" fontId="7" fillId="0" borderId="0" xfId="0" applyNumberFormat="1" applyFont="1"/>
    <xf numFmtId="0" fontId="5" fillId="0" borderId="0" xfId="0" applyFont="1" applyAlignment="1">
      <alignment horizontal="center" vertical="center"/>
    </xf>
  </cellXfs>
  <cellStyles count="2">
    <cellStyle name="Prozent" xfId="1" builtinId="5"/>
    <cellStyle name="Standard" xfId="0" builtinId="0"/>
  </cellStyles>
  <dxfs count="15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alignment horizontal="center" vertical="bottom" textRotation="0" wrapText="0" indent="0" justifyLastLine="0" shrinkToFit="0" readingOrder="0"/>
    </dxf>
    <dxf>
      <numFmt numFmtId="164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Bonfanti" refreshedDate="46136.774554282405" createdVersion="7" refreshedVersion="7" minRefreshableVersion="3" recordCount="95" xr:uid="{31E3F3F0-02F0-49FD-BAAD-A651F84C5A3F}">
  <cacheSource type="worksheet">
    <worksheetSource ref="A1:S1048576" sheet="2026"/>
  </cacheSource>
  <cacheFields count="18">
    <cacheField name="Datum" numFmtId="0">
      <sharedItems containsNonDate="0" containsDate="1" containsString="0" containsBlank="1" minDate="2026-01-08T00:00:00" maxDate="2026-04-23T00:00:00"/>
    </cacheField>
    <cacheField name="Aufrag/Rechnung" numFmtId="0">
      <sharedItems containsBlank="1"/>
    </cacheField>
    <cacheField name="Bereich" numFmtId="0">
      <sharedItems containsBlank="1" count="7">
        <s v="VTR"/>
        <s v="D2C"/>
        <s v="SUP"/>
        <s v="ENT"/>
        <s v="CorporateLegal"/>
        <s v="Finance"/>
        <m/>
      </sharedItems>
    </cacheField>
    <cacheField name="Typ" numFmtId="0">
      <sharedItems containsBlank="1" count="92">
        <s v="Verschieden Aufträge (Dezember)"/>
        <s v="Verschieden Aufträge (Januar)"/>
        <s v="Verschieden Aufträge Laura Bonfanti (Januar)"/>
        <s v="Verschieden Aufträge Martine Schmidt (Januar)"/>
        <s v="Verschieden Aufträge Franziska Schaare (Januar)"/>
        <s v="FRITZ!Fon Data Act-"/>
        <s v="D2C"/>
        <s v="shopify"/>
        <s v="Vertrieb (BP, PA)"/>
        <s v="Vertrieb (BP,shopify)"/>
        <s v="FRl177_2601_KS_FRITZ!App Smart Horne für iOS: de =&gt;sl"/>
        <s v="FRl177_2601_KS_FRITZ!App Smart Horne für OS: de =&gt; pl"/>
        <s v="FRI178_2601_KS_Data-Act-Text für FRITZ!Smart-Geräte: de =&gt; fi"/>
        <s v="FRI178_2601_KS_Data-Act-Text für FRITZ!Smart-Geräte: de =&gt; se"/>
        <s v="FRI178_2601_KS_Data-Act-Text für FRITZ!Smart-Geräte: de =&gt;no"/>
        <s v="FRI178_2601_KS_Data-Act-Text für FRITZ!Smart-Geräte: de =&gt; pl"/>
        <s v="FRI178_2601_KS_Data-Act-Text für FRITZ!Smart-Geräte: de =&gt; sl"/>
        <s v="FRI178_2601_KS_Data-Act-Text für FRITZ!Smart-Geräte: de =&gt; dk"/>
        <s v="FRl179_2601_KS_MyFRITZ!App für Android: de =&gt;pl"/>
        <s v="FRl179_2601_KS_MyFRITZ!App für Android: de=&gt;sl"/>
        <s v="FRI180_2601_KS_Amazon-Texte: de =&gt; pl"/>
        <s v="FRl181_2601_KS_Neue MyFRITZ!App für iOS: de=&gt; pi"/>
        <s v="FRl181_2601_KS_Neue MyFRITZ!App für OS: de =&gt; sl"/>
        <s v="FRI183_2601_KS_Autoresponder: de =&gt; pl"/>
        <s v="FRl174_2512_KS_Kurzanleitungen ins Dänische"/>
        <s v="FRl174_2512_KS_Kurzanleitungen ins Finnische"/>
        <s v="FRl174_2512_KS_Kurzanleitungen ins Norwegische"/>
        <s v="FRl174_2512_KS_Kurzanleitungen ins Schwedische"/>
        <s v="FRi 182_2601_TK_Mail-Datenlöschung_de-pl"/>
        <s v="FRI184_2601_KS_Data-Act-Texte_de-no"/>
        <s v="FRI184_2601_KS_Data-Act-Texte_de-sv"/>
        <s v="FRI184_2601_KS_Data-Act-Texte_de-da"/>
        <s v="FRI184_2601_KS_Data-Act-Texte_de-fi"/>
        <s v="FRI185_2601_KS_Amazon-Texte - Polnisch"/>
        <s v="FRl186_2601_KS_Mails für den Online-Shop: de =&gt; da"/>
        <s v="FRl186_2601_KS_Mails für den Online-Shop: de =&gt;pl"/>
        <s v="FRl186_2601_KS_Mails für den Online-Shop: de =&gt; fi"/>
        <s v="FRl186_2601_KS_Mails für den Online-Shop: de =&gt; no"/>
        <s v="FRl186_2601_KS_Mails für den Online-Shop: de =&gt; sv"/>
        <s v="FRl187_2601_KS_21. Runde FRITZ!Box GUI (JS3): de =&gt; sl"/>
        <s v="FRl187_2601_KS_21. Runde FRITZ!Box GUI (JS3): de =&gt; pl"/>
        <s v="FRl188_2601_KS_MyFRITZ!App für Android: de =&gt;sl"/>
        <s v="FRl188_2601_KS_MyFRITZ!App für Android: de =&gt;pl"/>
        <s v="FRl189_2602_KS_FRITZ!App Fon: de =&gt; sl"/>
        <s v="FRl189_2602_KS_FRITZ!App Fon: de =&gt; pl"/>
        <s v="FRl191_2602_KS_Text für ChatBot: de =&gt; pl"/>
        <s v="FRl192_2602_KS_22. Runde FRITZ!Box GUI (JS3): de =&gt; pl"/>
        <s v="FRl192_2602_KS_22. Runde FRITZ!Box GUI (JS3): de =&gt; sl"/>
        <s v="FRI194_2602_KS_Data-Act-Text für FRITZ!Fon-Geräte: de =&gt; pl"/>
        <s v="FRl193_2602_KS_10. Runde &quot;alte&quot; GUI: de =&gt; pl"/>
        <s v="FRl193_2602_KS_10. Runde &quot;alte&quot; GUl: de =&gt;sl"/>
        <s v="FRl195_2602_KS_Teaserfür die GUls: de=&gt; sl"/>
        <s v="FRi 196_2602_KS_2_Produktankuendigungen_de-pi"/>
        <s v="FRI197_2602_KS_Ergänzung_Datenschutzerklärung_de-pl"/>
        <s v="FRI197_2602_KS_Ergänzung_Datenschutzerklärung_de-sl"/>
        <s v="FRl190_2602_KS_Datenschutzerklärung für Online-Hilfen: de =&gt;pl"/>
        <s v="FRl198_2602_KS_Produktankündigungen für Repeater 600 und 2400 in PL"/>
        <s v="FRl199_2602_KS_Produktankündigung FRITZ!Box 7632 in PL"/>
        <s v="FRl200_2602_KS_Ankündigung FRITZ!Smart Control_350_Edition International in PL"/>
        <s v="FRI201_2602_KS_Amazon_20260224_translations-de-pl"/>
        <s v="FRI203_2602_KS_2026-02-26_D-00000079_T-00000990_EngineeringModules+Fragments_deDE"/>
        <s v="FRI202_2602_KS_2026-02-24_D-00000079_T-00000988_EngineeringModules_de-DE_pl-PL"/>
        <s v="FRl204_2603_KS_MyFRITZ!App für Android: de =&gt;pl"/>
        <s v="FRl204_2603_KS_MyFRITZ!App für Android: de=&gt;sl"/>
        <s v="FRl205_2603_KS_Neue MyFRITZ!App für OS: de =&gt; sl"/>
        <s v="FRl205_2603_KS_Neue MyFRITZ!App für iOS: de=&gt; pi"/>
        <s v="FRl206_2603_KS_FRITZ!App BoxSetup für iOS: de=&gt; pi"/>
        <s v="FRl206_2603_KS_FRITZ!App BoxSetup für OS: de =&gt; sl"/>
        <s v="FRI207_2603_KS_Booklet_6700_de-da"/>
        <s v="FRI207_2603_KS_Booklet_6700_de-fi"/>
        <s v="FRI207_2603_KS_Booklet_6700_de-no"/>
        <s v="FRl208_2603_KS_Makro zu DS-GVO: de =&gt; pl"/>
        <s v="FRl212_2603_KS_Neue FRITZ!App Smart Horne für Android: de =&gt;pl"/>
        <s v="FRI209_2603_KS_Handelsregisterauszug+Beglaubigung_de-enGB"/>
        <s v="FRI210_2603_KS_Amazon_Seller_Homepage_Legal_feedback_request_de-pi"/>
        <s v="FRI211_2603_KS_Changelog-Einträge: de=&gt; pi"/>
        <s v="FRI211_2603_KS_Changelog-Einträge: de=&gt; sl"/>
        <s v="FRl212_2603_KS_Neue FRITZ!App Smart Horne für Android: de=&gt;sl"/>
        <s v="FRl213_2603_KS_23. Runde FRITZ!Box GUI (JS3): de =&gt; pl"/>
        <s v="FRl213_2603_KS_23. Runde FRITZ!Box GUI (JS3): de =&gt; sl"/>
        <s v="FRl214_2603_KS_Macro für Kundenvorschläge: de =&gt; pl"/>
        <s v="FRI215_2603_KS_Amazon_Vergleichstabelle_de-pi"/>
        <s v="FRl216_2603_KS_Produktankündigung FRITZ!Box 7630 Edition International DE-PL"/>
        <s v="FRl217_2603_KS_Neue FRITZ!App Smart Horne für OS: de =&gt; pl"/>
        <s v="FRl217_2603_KS_Neue FRITZ!App Smart Horne für OS: de =&gt; sl"/>
        <s v="Verschieden Aufträge"/>
        <s v="FRI219_2603_KS_Android-Libraries: de =&gt; sl"/>
        <s v="FRI219_2603_KS_Android-Libraries: de =&gt; pl"/>
        <s v="FRI221_2604_KS_Amazon-Texte ins Polnische"/>
        <s v="FRl222_2604_KS_Einzelne Übersetzungen für die GUI (PL}"/>
        <s v="FRl222_2604_KS_Einzelne Übersetzungen für die GUI (SL}"/>
        <m/>
      </sharedItems>
    </cacheField>
    <cacheField name="EN" numFmtId="0">
      <sharedItems containsString="0" containsBlank="1" containsNumber="1" minValue="104.58" maxValue="104.58"/>
    </cacheField>
    <cacheField name="IT" numFmtId="0">
      <sharedItems containsString="0" containsBlank="1" containsNumber="1" minValue="30.36" maxValue="1280.3399999999999"/>
    </cacheField>
    <cacheField name="ES" numFmtId="0">
      <sharedItems containsNonDate="0" containsString="0" containsBlank="1" count="1">
        <m/>
      </sharedItems>
    </cacheField>
    <cacheField name="NL" numFmtId="0">
      <sharedItems containsString="0" containsBlank="1" containsNumber="1" minValue="235.14" maxValue="320.73"/>
    </cacheField>
    <cacheField name="PL" numFmtId="0">
      <sharedItems containsString="0" containsBlank="1" containsNumber="1" minValue="34.51" maxValue="680.82"/>
    </cacheField>
    <cacheField name="PT" numFmtId="0">
      <sharedItems containsNonDate="0" containsString="0" containsBlank="1" count="1">
        <m/>
      </sharedItems>
    </cacheField>
    <cacheField name="CZ" numFmtId="0">
      <sharedItems containsNonDate="0" containsString="0" containsBlank="1" count="1">
        <m/>
      </sharedItems>
    </cacheField>
    <cacheField name="SL" numFmtId="0">
      <sharedItems containsString="0" containsBlank="1" containsNumber="1" minValue="34.51" maxValue="568.15"/>
    </cacheField>
    <cacheField name="SV" numFmtId="0">
      <sharedItems containsString="0" containsBlank="1" containsNumber="1" minValue="66.489999999999995" maxValue="1851.13"/>
    </cacheField>
    <cacheField name="FI" numFmtId="0">
      <sharedItems containsString="0" containsBlank="1" containsNumber="1" minValue="66.489999999999995" maxValue="2055.87"/>
    </cacheField>
    <cacheField name="NW" numFmtId="0">
      <sharedItems containsString="0" containsBlank="1" containsNumber="1" minValue="66.489999999999995" maxValue="2082.79"/>
    </cacheField>
    <cacheField name="DA" numFmtId="0">
      <sharedItems containsString="0" containsBlank="1" containsNumber="1" minValue="63.55" maxValue="1985.63"/>
    </cacheField>
    <cacheField name="Übersetzer" numFmtId="0">
      <sharedItems containsBlank="1"/>
    </cacheField>
    <cacheField name="TOT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d v="2026-01-08T00:00:00"/>
    <s v="Rechnung Nr. 2602"/>
    <x v="0"/>
    <x v="0"/>
    <m/>
    <n v="778.55"/>
    <x v="0"/>
    <m/>
    <m/>
    <x v="0"/>
    <x v="0"/>
    <m/>
    <m/>
    <m/>
    <m/>
    <m/>
    <s v="Cristina Firriolo"/>
    <m/>
  </r>
  <r>
    <d v="2026-02-11T00:00:00"/>
    <s v="Rechnung Nr. 2605"/>
    <x v="0"/>
    <x v="1"/>
    <m/>
    <n v="275.74"/>
    <x v="0"/>
    <m/>
    <m/>
    <x v="0"/>
    <x v="0"/>
    <m/>
    <m/>
    <m/>
    <m/>
    <m/>
    <s v="Cristina Firriolo"/>
    <m/>
  </r>
  <r>
    <d v="2026-02-11T00:00:00"/>
    <s v="Rechnung Nr. 2606"/>
    <x v="1"/>
    <x v="2"/>
    <m/>
    <n v="53.39"/>
    <x v="0"/>
    <m/>
    <m/>
    <x v="0"/>
    <x v="0"/>
    <m/>
    <m/>
    <m/>
    <m/>
    <m/>
    <s v="Cristina Firriolo"/>
    <m/>
  </r>
  <r>
    <d v="2026-02-11T00:00:00"/>
    <s v="Rechnung Nr. 2607"/>
    <x v="1"/>
    <x v="3"/>
    <m/>
    <n v="268.83"/>
    <x v="0"/>
    <m/>
    <m/>
    <x v="0"/>
    <x v="0"/>
    <m/>
    <m/>
    <m/>
    <m/>
    <m/>
    <s v="Cristina Firriolo"/>
    <m/>
  </r>
  <r>
    <d v="2026-02-11T00:00:00"/>
    <s v="Rechnung Nr. 2608"/>
    <x v="1"/>
    <x v="4"/>
    <m/>
    <n v="682.67"/>
    <x v="0"/>
    <m/>
    <m/>
    <x v="0"/>
    <x v="0"/>
    <m/>
    <m/>
    <m/>
    <m/>
    <m/>
    <s v="Cristina Firriolo"/>
    <m/>
  </r>
  <r>
    <d v="2026-02-11T00:00:00"/>
    <s v="Rechnung Nr. 2610"/>
    <x v="2"/>
    <x v="5"/>
    <m/>
    <n v="30.36"/>
    <x v="0"/>
    <m/>
    <m/>
    <x v="0"/>
    <x v="0"/>
    <m/>
    <m/>
    <m/>
    <m/>
    <m/>
    <s v="Cristina Firriolo"/>
    <m/>
  </r>
  <r>
    <d v="2026-03-05T00:00:00"/>
    <s v="Rechnung Nr. 2611"/>
    <x v="1"/>
    <x v="6"/>
    <m/>
    <n v="103.05"/>
    <x v="0"/>
    <m/>
    <m/>
    <x v="0"/>
    <x v="0"/>
    <m/>
    <m/>
    <m/>
    <m/>
    <m/>
    <s v="Cristina Firriolo"/>
    <m/>
  </r>
  <r>
    <d v="2026-03-05T00:00:00"/>
    <s v="Rechnung Nr. 2612"/>
    <x v="1"/>
    <x v="7"/>
    <m/>
    <n v="165.17"/>
    <x v="0"/>
    <m/>
    <m/>
    <x v="0"/>
    <x v="0"/>
    <m/>
    <m/>
    <m/>
    <m/>
    <m/>
    <s v="Cristina Firriolo"/>
    <m/>
  </r>
  <r>
    <d v="2026-03-05T00:00:00"/>
    <s v="Rechnung Nr. 2613"/>
    <x v="0"/>
    <x v="8"/>
    <m/>
    <n v="946.75"/>
    <x v="0"/>
    <m/>
    <m/>
    <x v="0"/>
    <x v="0"/>
    <m/>
    <m/>
    <m/>
    <m/>
    <m/>
    <s v="Cristina Firriolo"/>
    <m/>
  </r>
  <r>
    <d v="2026-04-13T00:00:00"/>
    <s v="Rechnung Nr. 2614"/>
    <x v="1"/>
    <x v="9"/>
    <m/>
    <n v="632.69000000000005"/>
    <x v="0"/>
    <m/>
    <m/>
    <x v="0"/>
    <x v="0"/>
    <m/>
    <m/>
    <m/>
    <m/>
    <m/>
    <s v="Cristina Firriolo"/>
    <m/>
  </r>
  <r>
    <d v="2026-04-13T00:00:00"/>
    <s v="Rechnung Nr. 2615"/>
    <x v="0"/>
    <x v="9"/>
    <m/>
    <n v="1280.3399999999999"/>
    <x v="0"/>
    <m/>
    <m/>
    <x v="0"/>
    <x v="0"/>
    <m/>
    <m/>
    <m/>
    <m/>
    <m/>
    <s v="Cristina Firriolo"/>
    <m/>
  </r>
  <r>
    <d v="2026-01-28T00:00:00"/>
    <s v="Rechnung 1-04064"/>
    <x v="3"/>
    <x v="10"/>
    <m/>
    <m/>
    <x v="0"/>
    <m/>
    <m/>
    <x v="0"/>
    <x v="0"/>
    <n v="69.02"/>
    <m/>
    <m/>
    <m/>
    <m/>
    <s v="Yabylon"/>
    <m/>
  </r>
  <r>
    <d v="2026-01-28T00:00:00"/>
    <s v="Rechnung 1-04065"/>
    <x v="3"/>
    <x v="11"/>
    <m/>
    <m/>
    <x v="0"/>
    <m/>
    <n v="69.02"/>
    <x v="0"/>
    <x v="0"/>
    <m/>
    <m/>
    <m/>
    <m/>
    <m/>
    <s v="Yabylon"/>
    <m/>
  </r>
  <r>
    <d v="2026-01-28T00:00:00"/>
    <s v="Rechnung 1-04066"/>
    <x v="2"/>
    <x v="12"/>
    <m/>
    <m/>
    <x v="0"/>
    <m/>
    <m/>
    <x v="0"/>
    <x v="0"/>
    <m/>
    <m/>
    <n v="66.489999999999995"/>
    <m/>
    <m/>
    <s v="Yabylon"/>
    <m/>
  </r>
  <r>
    <d v="2026-01-28T00:00:00"/>
    <s v="Rechnung 1-04067"/>
    <x v="2"/>
    <x v="13"/>
    <m/>
    <m/>
    <x v="0"/>
    <m/>
    <m/>
    <x v="0"/>
    <x v="0"/>
    <m/>
    <n v="66.489999999999995"/>
    <m/>
    <m/>
    <m/>
    <s v="Yabylon"/>
    <m/>
  </r>
  <r>
    <d v="2026-01-28T00:00:00"/>
    <s v="Rechnung 1-04068"/>
    <x v="2"/>
    <x v="14"/>
    <m/>
    <m/>
    <x v="0"/>
    <m/>
    <m/>
    <x v="0"/>
    <x v="0"/>
    <m/>
    <m/>
    <m/>
    <n v="66.489999999999995"/>
    <m/>
    <s v="Yabylon"/>
    <m/>
  </r>
  <r>
    <d v="2026-01-28T00:00:00"/>
    <s v="Rechnung 1-04069"/>
    <x v="2"/>
    <x v="15"/>
    <m/>
    <m/>
    <x v="0"/>
    <m/>
    <n v="35.82"/>
    <x v="0"/>
    <x v="0"/>
    <m/>
    <m/>
    <m/>
    <m/>
    <m/>
    <s v="Yabylon"/>
    <m/>
  </r>
  <r>
    <d v="2026-01-28T00:00:00"/>
    <s v="Rechnung 1-04070"/>
    <x v="2"/>
    <x v="16"/>
    <m/>
    <m/>
    <x v="0"/>
    <m/>
    <m/>
    <x v="0"/>
    <x v="0"/>
    <n v="36.700000000000003"/>
    <m/>
    <m/>
    <m/>
    <m/>
    <s v="Yabylon"/>
    <m/>
  </r>
  <r>
    <d v="2026-01-28T00:00:00"/>
    <s v="Rechnung 1-04071"/>
    <x v="2"/>
    <x v="17"/>
    <m/>
    <m/>
    <x v="0"/>
    <m/>
    <m/>
    <x v="0"/>
    <x v="0"/>
    <m/>
    <m/>
    <m/>
    <m/>
    <n v="63.55"/>
    <s v="Yabylon"/>
    <m/>
  </r>
  <r>
    <d v="2026-01-28T00:00:00"/>
    <s v="Rechnung 1-04072"/>
    <x v="3"/>
    <x v="18"/>
    <m/>
    <m/>
    <x v="0"/>
    <m/>
    <n v="469.57"/>
    <x v="0"/>
    <x v="0"/>
    <m/>
    <m/>
    <m/>
    <m/>
    <m/>
    <s v="Yabylon"/>
    <m/>
  </r>
  <r>
    <d v="2026-01-28T00:00:00"/>
    <s v="Rechnung 1-04073"/>
    <x v="3"/>
    <x v="19"/>
    <m/>
    <m/>
    <x v="0"/>
    <m/>
    <m/>
    <x v="0"/>
    <x v="0"/>
    <n v="483.54"/>
    <m/>
    <m/>
    <m/>
    <m/>
    <s v="Yabylon"/>
    <m/>
  </r>
  <r>
    <d v="2026-01-28T00:00:00"/>
    <s v="Rechnung 1-04074"/>
    <x v="1"/>
    <x v="20"/>
    <m/>
    <m/>
    <x v="0"/>
    <m/>
    <n v="430.24"/>
    <x v="0"/>
    <x v="0"/>
    <m/>
    <m/>
    <m/>
    <m/>
    <m/>
    <s v="Yabylon"/>
    <m/>
  </r>
  <r>
    <d v="2026-01-28T00:00:00"/>
    <s v="Rechnung 1-04075"/>
    <x v="3"/>
    <x v="21"/>
    <m/>
    <m/>
    <x v="0"/>
    <m/>
    <n v="517.28"/>
    <x v="0"/>
    <x v="0"/>
    <m/>
    <m/>
    <m/>
    <m/>
    <m/>
    <s v="Yabylon"/>
    <m/>
  </r>
  <r>
    <d v="2026-01-28T00:00:00"/>
    <s v="Rechnung 1-04076"/>
    <x v="3"/>
    <x v="22"/>
    <m/>
    <m/>
    <x v="0"/>
    <m/>
    <m/>
    <x v="0"/>
    <x v="0"/>
    <n v="517.03"/>
    <m/>
    <m/>
    <m/>
    <m/>
    <s v="Yabylon"/>
    <m/>
  </r>
  <r>
    <d v="2026-01-30T00:00:00"/>
    <s v="Rechnung 1-04096"/>
    <x v="3"/>
    <x v="23"/>
    <m/>
    <m/>
    <x v="0"/>
    <m/>
    <n v="34.51"/>
    <x v="0"/>
    <x v="0"/>
    <m/>
    <m/>
    <m/>
    <m/>
    <m/>
    <s v="Yabylon"/>
    <m/>
  </r>
  <r>
    <d v="2026-01-30T00:00:00"/>
    <s v="Rechnung 1-04092"/>
    <x v="2"/>
    <x v="24"/>
    <m/>
    <m/>
    <x v="0"/>
    <m/>
    <m/>
    <x v="0"/>
    <x v="0"/>
    <m/>
    <m/>
    <m/>
    <m/>
    <n v="1985.63"/>
    <s v="Yabylon"/>
    <m/>
  </r>
  <r>
    <d v="2026-01-30T00:00:00"/>
    <s v="Rechnung 1-04093"/>
    <x v="2"/>
    <x v="25"/>
    <m/>
    <m/>
    <x v="0"/>
    <m/>
    <m/>
    <x v="0"/>
    <x v="0"/>
    <m/>
    <m/>
    <n v="2055.87"/>
    <m/>
    <m/>
    <s v="Yabylon"/>
    <m/>
  </r>
  <r>
    <d v="2026-01-30T00:00:00"/>
    <s v="Rechnung 1-04094"/>
    <x v="2"/>
    <x v="26"/>
    <m/>
    <m/>
    <x v="0"/>
    <m/>
    <m/>
    <x v="0"/>
    <x v="0"/>
    <m/>
    <m/>
    <m/>
    <n v="2082.79"/>
    <m/>
    <s v="Yabylon"/>
    <m/>
  </r>
  <r>
    <d v="2026-01-30T00:00:00"/>
    <s v="Rechnung 1-04095"/>
    <x v="2"/>
    <x v="27"/>
    <m/>
    <m/>
    <x v="0"/>
    <m/>
    <m/>
    <x v="0"/>
    <x v="0"/>
    <m/>
    <n v="1851.13"/>
    <m/>
    <m/>
    <m/>
    <s v="Yabylon"/>
    <m/>
  </r>
  <r>
    <d v="2026-01-30T00:00:00"/>
    <s v="Rechnung I-04101"/>
    <x v="0"/>
    <x v="28"/>
    <m/>
    <m/>
    <x v="0"/>
    <m/>
    <n v="69.02"/>
    <x v="0"/>
    <x v="0"/>
    <m/>
    <m/>
    <m/>
    <m/>
    <m/>
    <s v="Yabylon"/>
    <m/>
  </r>
  <r>
    <d v="2026-02-20T00:00:00"/>
    <s v="Rechnung I-04112"/>
    <x v="2"/>
    <x v="29"/>
    <m/>
    <m/>
    <x v="0"/>
    <m/>
    <m/>
    <x v="0"/>
    <x v="0"/>
    <m/>
    <m/>
    <m/>
    <n v="295.69"/>
    <m/>
    <s v="Yabylon"/>
    <m/>
  </r>
  <r>
    <d v="2026-02-20T00:00:00"/>
    <s v="Rechnung I-04113"/>
    <x v="2"/>
    <x v="30"/>
    <m/>
    <m/>
    <x v="0"/>
    <m/>
    <m/>
    <x v="0"/>
    <x v="0"/>
    <m/>
    <n v="295.44"/>
    <m/>
    <m/>
    <m/>
    <s v="Yabylon"/>
    <m/>
  </r>
  <r>
    <d v="2026-02-20T00:00:00"/>
    <s v="Rechnung I-04114"/>
    <x v="2"/>
    <x v="31"/>
    <m/>
    <m/>
    <x v="0"/>
    <m/>
    <m/>
    <x v="0"/>
    <x v="0"/>
    <m/>
    <m/>
    <m/>
    <m/>
    <n v="281.67"/>
    <s v="Yabylon"/>
    <m/>
  </r>
  <r>
    <d v="2026-02-20T00:00:00"/>
    <s v="Rechnung I-04115"/>
    <x v="2"/>
    <x v="32"/>
    <m/>
    <m/>
    <x v="0"/>
    <m/>
    <m/>
    <x v="0"/>
    <x v="0"/>
    <m/>
    <m/>
    <n v="295.44"/>
    <m/>
    <m/>
    <s v="Yabylon"/>
    <m/>
  </r>
  <r>
    <d v="2026-02-20T00:00:00"/>
    <s v="Rechnung I-04116"/>
    <x v="1"/>
    <x v="33"/>
    <m/>
    <m/>
    <x v="0"/>
    <m/>
    <n v="367.78"/>
    <x v="0"/>
    <x v="0"/>
    <m/>
    <m/>
    <m/>
    <m/>
    <m/>
    <s v="Yabylon"/>
    <m/>
  </r>
  <r>
    <d v="2026-02-20T00:00:00"/>
    <s v="Rechnung I-04117"/>
    <x v="1"/>
    <x v="34"/>
    <m/>
    <m/>
    <x v="0"/>
    <m/>
    <m/>
    <x v="0"/>
    <x v="0"/>
    <m/>
    <m/>
    <m/>
    <m/>
    <n v="152.80000000000001"/>
    <s v="Yabylon"/>
    <m/>
  </r>
  <r>
    <d v="2026-02-20T00:00:00"/>
    <s v="Rechnung I-04118"/>
    <x v="1"/>
    <x v="35"/>
    <m/>
    <m/>
    <x v="0"/>
    <m/>
    <n v="125.28"/>
    <x v="0"/>
    <x v="0"/>
    <m/>
    <m/>
    <m/>
    <m/>
    <m/>
    <s v="Yabylon"/>
    <m/>
  </r>
  <r>
    <d v="2026-02-20T00:00:00"/>
    <s v="Rechnung I-04119"/>
    <x v="1"/>
    <x v="36"/>
    <m/>
    <m/>
    <x v="0"/>
    <m/>
    <m/>
    <x v="0"/>
    <x v="0"/>
    <m/>
    <m/>
    <n v="159.54"/>
    <m/>
    <m/>
    <s v="Yabylon"/>
    <m/>
  </r>
  <r>
    <d v="2026-02-20T00:00:00"/>
    <s v="Rechnung I-04120"/>
    <x v="1"/>
    <x v="37"/>
    <m/>
    <m/>
    <x v="0"/>
    <m/>
    <m/>
    <x v="0"/>
    <x v="0"/>
    <m/>
    <m/>
    <m/>
    <n v="159.96"/>
    <m/>
    <s v="Yabylon"/>
    <m/>
  </r>
  <r>
    <d v="2026-02-20T00:00:00"/>
    <s v="Rechnung I-04121"/>
    <x v="1"/>
    <x v="38"/>
    <m/>
    <m/>
    <x v="0"/>
    <m/>
    <m/>
    <x v="0"/>
    <x v="0"/>
    <n v="159.96"/>
    <m/>
    <m/>
    <m/>
    <m/>
    <s v="Yabylon"/>
    <m/>
  </r>
  <r>
    <d v="2026-02-20T00:00:00"/>
    <s v="Rechnung I-04122"/>
    <x v="3"/>
    <x v="39"/>
    <m/>
    <m/>
    <x v="0"/>
    <m/>
    <m/>
    <x v="0"/>
    <x v="0"/>
    <n v="69.02"/>
    <m/>
    <m/>
    <m/>
    <m/>
    <s v="Yabylon"/>
    <m/>
  </r>
  <r>
    <d v="2026-02-20T00:00:00"/>
    <s v="Rechnung I-04123"/>
    <x v="3"/>
    <x v="40"/>
    <m/>
    <m/>
    <x v="0"/>
    <m/>
    <n v="69.02"/>
    <x v="0"/>
    <x v="0"/>
    <n v="485.75"/>
    <m/>
    <m/>
    <m/>
    <m/>
    <s v="Yabylon"/>
    <m/>
  </r>
  <r>
    <d v="2026-02-20T00:00:00"/>
    <s v="Rechnung I-04124"/>
    <x v="3"/>
    <x v="41"/>
    <m/>
    <m/>
    <x v="0"/>
    <m/>
    <m/>
    <x v="0"/>
    <x v="0"/>
    <m/>
    <m/>
    <m/>
    <m/>
    <m/>
    <s v="Yabylon"/>
    <m/>
  </r>
  <r>
    <d v="2026-02-20T00:00:00"/>
    <s v="Rechnung I-04125"/>
    <x v="3"/>
    <x v="42"/>
    <m/>
    <m/>
    <x v="0"/>
    <m/>
    <n v="471.78"/>
    <x v="0"/>
    <x v="0"/>
    <m/>
    <m/>
    <m/>
    <m/>
    <m/>
    <s v="Yabylon"/>
    <m/>
  </r>
  <r>
    <d v="2026-02-20T00:00:00"/>
    <s v="Rechnung I-04126"/>
    <x v="3"/>
    <x v="43"/>
    <m/>
    <m/>
    <x v="0"/>
    <m/>
    <m/>
    <x v="0"/>
    <x v="0"/>
    <n v="71.59"/>
    <m/>
    <m/>
    <m/>
    <m/>
    <s v="Yabylon"/>
    <m/>
  </r>
  <r>
    <d v="2026-02-20T00:00:00"/>
    <s v="Rechnung I-04127"/>
    <x v="3"/>
    <x v="44"/>
    <m/>
    <m/>
    <x v="0"/>
    <m/>
    <n v="71.59"/>
    <x v="0"/>
    <x v="0"/>
    <m/>
    <m/>
    <m/>
    <m/>
    <m/>
    <s v="Yabylon"/>
    <m/>
  </r>
  <r>
    <d v="2026-02-20T00:00:00"/>
    <s v="Rechnung I-04128"/>
    <x v="2"/>
    <x v="45"/>
    <m/>
    <m/>
    <x v="0"/>
    <m/>
    <n v="34.51"/>
    <x v="0"/>
    <x v="0"/>
    <m/>
    <m/>
    <m/>
    <m/>
    <m/>
    <s v="Yabylon"/>
    <m/>
  </r>
  <r>
    <d v="2026-02-20T00:00:00"/>
    <s v="Rechnung I-04129"/>
    <x v="3"/>
    <x v="46"/>
    <m/>
    <m/>
    <x v="0"/>
    <m/>
    <n v="233.03"/>
    <x v="0"/>
    <x v="0"/>
    <m/>
    <m/>
    <m/>
    <m/>
    <m/>
    <s v="Yabylon"/>
    <m/>
  </r>
  <r>
    <d v="2026-02-20T00:00:00"/>
    <s v="Rechnung I-04130"/>
    <x v="3"/>
    <x v="47"/>
    <m/>
    <m/>
    <x v="0"/>
    <m/>
    <m/>
    <x v="0"/>
    <x v="0"/>
    <n v="166.08"/>
    <m/>
    <m/>
    <m/>
    <m/>
    <s v="Yabylon"/>
    <m/>
  </r>
  <r>
    <d v="2026-02-20T00:00:00"/>
    <s v="Rechnung I-04131"/>
    <x v="3"/>
    <x v="48"/>
    <m/>
    <m/>
    <x v="0"/>
    <m/>
    <n v="34.51"/>
    <x v="0"/>
    <x v="0"/>
    <m/>
    <m/>
    <m/>
    <m/>
    <m/>
    <s v="Yabylon"/>
    <m/>
  </r>
  <r>
    <d v="2026-02-20T00:00:00"/>
    <s v="Rechnung I-04132"/>
    <x v="3"/>
    <x v="49"/>
    <m/>
    <m/>
    <x v="0"/>
    <m/>
    <n v="69.02"/>
    <x v="0"/>
    <x v="0"/>
    <m/>
    <m/>
    <m/>
    <m/>
    <m/>
    <s v="Yabylon"/>
    <m/>
  </r>
  <r>
    <d v="2026-02-20T00:00:00"/>
    <s v="Rechnung I-04133"/>
    <x v="3"/>
    <x v="50"/>
    <m/>
    <m/>
    <x v="0"/>
    <m/>
    <m/>
    <x v="0"/>
    <x v="0"/>
    <n v="69.02"/>
    <m/>
    <m/>
    <m/>
    <m/>
    <s v="Yabylon"/>
    <m/>
  </r>
  <r>
    <d v="2026-02-20T00:00:00"/>
    <s v="Rechnung I-04134"/>
    <x v="3"/>
    <x v="51"/>
    <m/>
    <m/>
    <x v="0"/>
    <m/>
    <m/>
    <x v="0"/>
    <x v="0"/>
    <n v="35.81"/>
    <m/>
    <m/>
    <m/>
    <m/>
    <s v="Yabylon"/>
    <m/>
  </r>
  <r>
    <d v="2026-02-20T00:00:00"/>
    <s v="Rechnung I-04135"/>
    <x v="0"/>
    <x v="52"/>
    <m/>
    <m/>
    <x v="0"/>
    <m/>
    <n v="143.78"/>
    <x v="0"/>
    <x v="0"/>
    <m/>
    <m/>
    <m/>
    <m/>
    <m/>
    <s v="Yabylon"/>
    <m/>
  </r>
  <r>
    <d v="2026-02-20T00:00:00"/>
    <s v="Rechnung I-04136"/>
    <x v="2"/>
    <x v="53"/>
    <m/>
    <m/>
    <x v="0"/>
    <m/>
    <n v="34.51"/>
    <x v="0"/>
    <x v="0"/>
    <m/>
    <m/>
    <m/>
    <m/>
    <m/>
    <s v="Yabylon"/>
    <m/>
  </r>
  <r>
    <d v="2026-02-20T00:00:00"/>
    <s v="Rechnung I-04137"/>
    <x v="2"/>
    <x v="54"/>
    <m/>
    <m/>
    <x v="0"/>
    <m/>
    <m/>
    <x v="0"/>
    <x v="0"/>
    <n v="34.51"/>
    <m/>
    <m/>
    <m/>
    <m/>
    <s v="Yabylon"/>
    <m/>
  </r>
  <r>
    <d v="2026-02-25T00:00:00"/>
    <s v="Rechnung I-04151"/>
    <x v="2"/>
    <x v="55"/>
    <m/>
    <m/>
    <x v="0"/>
    <m/>
    <n v="488.44"/>
    <x v="0"/>
    <x v="0"/>
    <m/>
    <m/>
    <m/>
    <m/>
    <m/>
    <s v="Yabylon"/>
    <m/>
  </r>
  <r>
    <d v="2026-02-25T00:00:00"/>
    <s v="Rechnung I-04152"/>
    <x v="0"/>
    <x v="56"/>
    <m/>
    <m/>
    <x v="0"/>
    <m/>
    <n v="120.26"/>
    <x v="0"/>
    <x v="0"/>
    <m/>
    <m/>
    <m/>
    <m/>
    <m/>
    <s v="Yabylon"/>
    <m/>
  </r>
  <r>
    <d v="2026-02-25T00:00:00"/>
    <s v="Rechnung I-04153"/>
    <x v="0"/>
    <x v="57"/>
    <m/>
    <m/>
    <x v="0"/>
    <m/>
    <n v="89.68"/>
    <x v="0"/>
    <x v="0"/>
    <m/>
    <m/>
    <m/>
    <m/>
    <m/>
    <s v="Yabylon"/>
    <m/>
  </r>
  <r>
    <d v="2026-03-20T00:00:00"/>
    <s v="Rechnung I-04196"/>
    <x v="0"/>
    <x v="58"/>
    <m/>
    <m/>
    <x v="0"/>
    <m/>
    <n v="78.69"/>
    <x v="0"/>
    <x v="0"/>
    <m/>
    <m/>
    <m/>
    <m/>
    <m/>
    <s v="Yabylon"/>
    <m/>
  </r>
  <r>
    <d v="2026-03-20T00:00:00"/>
    <s v="Rechnung I-04197"/>
    <x v="4"/>
    <x v="59"/>
    <m/>
    <m/>
    <x v="0"/>
    <m/>
    <n v="101.97"/>
    <x v="0"/>
    <x v="0"/>
    <m/>
    <m/>
    <m/>
    <m/>
    <m/>
    <s v="Yabylon"/>
    <m/>
  </r>
  <r>
    <d v="2026-03-20T00:00:00"/>
    <s v="Rechnung I-04198"/>
    <x v="2"/>
    <x v="60"/>
    <m/>
    <m/>
    <x v="0"/>
    <m/>
    <n v="530.80999999999995"/>
    <x v="0"/>
    <x v="0"/>
    <n v="69.02"/>
    <m/>
    <m/>
    <m/>
    <m/>
    <s v="Yabylon"/>
    <m/>
  </r>
  <r>
    <d v="2026-03-20T00:00:00"/>
    <s v="Rechnung I-04199"/>
    <x v="2"/>
    <x v="61"/>
    <m/>
    <m/>
    <x v="0"/>
    <m/>
    <n v="69.02"/>
    <x v="0"/>
    <x v="0"/>
    <m/>
    <m/>
    <m/>
    <m/>
    <m/>
    <s v="Yabylon"/>
    <m/>
  </r>
  <r>
    <d v="2026-03-20T00:00:00"/>
    <s v="Rechnung I-04200"/>
    <x v="3"/>
    <x v="62"/>
    <m/>
    <m/>
    <x v="0"/>
    <m/>
    <n v="530.80999999999995"/>
    <x v="0"/>
    <x v="0"/>
    <m/>
    <m/>
    <m/>
    <m/>
    <m/>
    <s v="Yabylon"/>
    <m/>
  </r>
  <r>
    <d v="2026-03-20T00:00:00"/>
    <s v="Rechnung I-04201"/>
    <x v="3"/>
    <x v="63"/>
    <m/>
    <m/>
    <x v="0"/>
    <m/>
    <m/>
    <x v="0"/>
    <x v="0"/>
    <n v="556.96"/>
    <m/>
    <m/>
    <m/>
    <m/>
    <s v="Yabylon"/>
    <m/>
  </r>
  <r>
    <d v="2026-03-20T00:00:00"/>
    <s v="Rechnung 1-04202"/>
    <x v="3"/>
    <x v="64"/>
    <m/>
    <m/>
    <x v="0"/>
    <m/>
    <m/>
    <x v="0"/>
    <x v="0"/>
    <n v="539.41999999999996"/>
    <m/>
    <m/>
    <m/>
    <m/>
    <s v="Yabylon"/>
    <m/>
  </r>
  <r>
    <d v="2026-03-20T00:00:00"/>
    <s v="Rechnung 1-04203"/>
    <x v="3"/>
    <x v="65"/>
    <m/>
    <m/>
    <x v="0"/>
    <m/>
    <n v="538.39"/>
    <x v="0"/>
    <x v="0"/>
    <m/>
    <m/>
    <m/>
    <m/>
    <m/>
    <s v="Yabylon"/>
    <m/>
  </r>
  <r>
    <d v="2026-03-20T00:00:00"/>
    <s v="Rechnung 1-04204"/>
    <x v="3"/>
    <x v="66"/>
    <m/>
    <m/>
    <x v="0"/>
    <m/>
    <n v="102.66"/>
    <x v="0"/>
    <x v="0"/>
    <m/>
    <m/>
    <m/>
    <m/>
    <m/>
    <s v="Yabylon"/>
    <m/>
  </r>
  <r>
    <d v="2026-03-20T00:00:00"/>
    <s v="Rechnung 1-04205"/>
    <x v="3"/>
    <x v="67"/>
    <m/>
    <m/>
    <x v="0"/>
    <m/>
    <m/>
    <x v="0"/>
    <x v="0"/>
    <n v="104.54"/>
    <m/>
    <m/>
    <m/>
    <m/>
    <s v="Yabylon"/>
    <m/>
  </r>
  <r>
    <d v="2026-03-20T00:00:00"/>
    <s v="Rechnung 1-04206"/>
    <x v="2"/>
    <x v="68"/>
    <m/>
    <m/>
    <x v="0"/>
    <m/>
    <m/>
    <x v="0"/>
    <x v="0"/>
    <m/>
    <m/>
    <m/>
    <m/>
    <n v="91.09"/>
    <s v="Yabylon"/>
    <m/>
  </r>
  <r>
    <d v="2026-03-20T00:00:00"/>
    <s v="Rechnung 1-04207"/>
    <x v="2"/>
    <x v="69"/>
    <m/>
    <m/>
    <x v="0"/>
    <m/>
    <m/>
    <x v="0"/>
    <x v="0"/>
    <m/>
    <m/>
    <n v="92.78"/>
    <m/>
    <m/>
    <s v="Yabylon"/>
    <m/>
  </r>
  <r>
    <d v="2026-03-20T00:00:00"/>
    <s v="Rechnung 1-04208"/>
    <x v="2"/>
    <x v="70"/>
    <m/>
    <m/>
    <x v="0"/>
    <m/>
    <m/>
    <x v="0"/>
    <x v="0"/>
    <m/>
    <m/>
    <m/>
    <n v="94.56"/>
    <m/>
    <s v="Yabylon"/>
    <m/>
  </r>
  <r>
    <d v="2026-03-20T00:00:00"/>
    <s v="Rechnung 1-04209"/>
    <x v="2"/>
    <x v="70"/>
    <m/>
    <m/>
    <x v="0"/>
    <m/>
    <m/>
    <x v="0"/>
    <x v="0"/>
    <m/>
    <m/>
    <m/>
    <n v="95.72"/>
    <m/>
    <s v="Yabylon"/>
    <m/>
  </r>
  <r>
    <d v="2026-03-20T00:00:00"/>
    <s v="Rechnung I-04210"/>
    <x v="0"/>
    <x v="71"/>
    <m/>
    <m/>
    <x v="0"/>
    <m/>
    <n v="34.51"/>
    <x v="0"/>
    <x v="0"/>
    <m/>
    <m/>
    <m/>
    <m/>
    <m/>
    <s v="Yabylon"/>
    <m/>
  </r>
  <r>
    <d v="2026-03-20T00:00:00"/>
    <s v="Rechnung I-04211"/>
    <x v="3"/>
    <x v="72"/>
    <m/>
    <m/>
    <x v="0"/>
    <m/>
    <n v="34.51"/>
    <x v="0"/>
    <x v="0"/>
    <m/>
    <m/>
    <m/>
    <m/>
    <m/>
    <s v="Yabylon"/>
    <m/>
  </r>
  <r>
    <d v="2026-03-20T00:00:00"/>
    <s v="Rechnung I-04212"/>
    <x v="5"/>
    <x v="73"/>
    <n v="104.58"/>
    <m/>
    <x v="0"/>
    <m/>
    <m/>
    <x v="0"/>
    <x v="0"/>
    <m/>
    <m/>
    <m/>
    <m/>
    <m/>
    <s v="Yabylon"/>
    <m/>
  </r>
  <r>
    <d v="2026-03-20T00:00:00"/>
    <s v="Rechnung I-04213"/>
    <x v="5"/>
    <x v="74"/>
    <m/>
    <m/>
    <x v="0"/>
    <m/>
    <n v="680.82"/>
    <x v="0"/>
    <x v="0"/>
    <m/>
    <m/>
    <m/>
    <m/>
    <m/>
    <s v="Yabylon"/>
    <m/>
  </r>
  <r>
    <d v="2026-03-20T00:00:00"/>
    <s v="Rechnung I-04214"/>
    <x v="3"/>
    <x v="75"/>
    <m/>
    <m/>
    <x v="0"/>
    <m/>
    <n v="34.51"/>
    <x v="0"/>
    <x v="0"/>
    <m/>
    <m/>
    <m/>
    <m/>
    <m/>
    <s v="Yabylon"/>
    <m/>
  </r>
  <r>
    <d v="2026-03-20T00:00:00"/>
    <s v="Rechnung I-04215"/>
    <x v="3"/>
    <x v="76"/>
    <m/>
    <m/>
    <x v="0"/>
    <m/>
    <m/>
    <x v="0"/>
    <x v="0"/>
    <n v="34.51"/>
    <m/>
    <m/>
    <m/>
    <m/>
    <s v="Yabylon"/>
    <m/>
  </r>
  <r>
    <d v="2026-03-20T00:00:00"/>
    <s v="Rechnung I-04216"/>
    <x v="3"/>
    <x v="77"/>
    <m/>
    <m/>
    <x v="0"/>
    <m/>
    <m/>
    <x v="0"/>
    <x v="0"/>
    <m/>
    <m/>
    <m/>
    <m/>
    <m/>
    <s v="Yabylon"/>
    <m/>
  </r>
  <r>
    <d v="2026-03-20T00:00:00"/>
    <s v="Rechnung I-04217"/>
    <x v="3"/>
    <x v="78"/>
    <m/>
    <m/>
    <x v="0"/>
    <m/>
    <n v="138.04"/>
    <x v="0"/>
    <x v="0"/>
    <m/>
    <m/>
    <m/>
    <m/>
    <m/>
    <s v="Yabylon"/>
    <m/>
  </r>
  <r>
    <d v="2026-03-20T00:00:00"/>
    <s v="Rechnung I-04218"/>
    <x v="3"/>
    <x v="79"/>
    <m/>
    <m/>
    <x v="0"/>
    <m/>
    <m/>
    <x v="0"/>
    <x v="0"/>
    <n v="138.04"/>
    <m/>
    <m/>
    <m/>
    <m/>
    <s v="Yabylon"/>
    <m/>
  </r>
  <r>
    <d v="2026-03-20T00:00:00"/>
    <s v="Rechnung I-04219"/>
    <x v="2"/>
    <x v="80"/>
    <m/>
    <m/>
    <x v="0"/>
    <m/>
    <n v="34.51"/>
    <x v="0"/>
    <x v="0"/>
    <m/>
    <m/>
    <m/>
    <m/>
    <m/>
    <s v="Yabylon"/>
    <m/>
  </r>
  <r>
    <d v="2026-03-20T00:00:00"/>
    <s v="Rechnung 1-04220"/>
    <x v="1"/>
    <x v="81"/>
    <m/>
    <m/>
    <x v="0"/>
    <m/>
    <n v="69.02"/>
    <x v="0"/>
    <x v="0"/>
    <m/>
    <m/>
    <m/>
    <m/>
    <m/>
    <s v="Yabylon"/>
    <m/>
  </r>
  <r>
    <d v="2026-03-30T00:00:00"/>
    <s v="Rechnung I-04231"/>
    <x v="0"/>
    <x v="82"/>
    <m/>
    <m/>
    <x v="0"/>
    <m/>
    <n v="85.57"/>
    <x v="0"/>
    <x v="0"/>
    <m/>
    <m/>
    <m/>
    <m/>
    <m/>
    <s v="Yabylon"/>
    <m/>
  </r>
  <r>
    <d v="2026-03-30T00:00:00"/>
    <s v="Rechnung 1-04232"/>
    <x v="3"/>
    <x v="83"/>
    <m/>
    <m/>
    <x v="0"/>
    <m/>
    <n v="375.78"/>
    <x v="0"/>
    <x v="0"/>
    <m/>
    <m/>
    <m/>
    <m/>
    <m/>
    <s v="Yabylon"/>
    <m/>
  </r>
  <r>
    <d v="2026-03-30T00:00:00"/>
    <s v="Rechnung 1-04233"/>
    <x v="3"/>
    <x v="84"/>
    <m/>
    <m/>
    <x v="0"/>
    <m/>
    <m/>
    <x v="0"/>
    <x v="0"/>
    <n v="380.74"/>
    <m/>
    <m/>
    <m/>
    <m/>
    <s v="Yabylon"/>
    <m/>
  </r>
  <r>
    <d v="2026-01-30T00:00:00"/>
    <s v="Rechnung RE1326"/>
    <x v="1"/>
    <x v="85"/>
    <m/>
    <m/>
    <x v="0"/>
    <n v="235.14"/>
    <m/>
    <x v="0"/>
    <x v="0"/>
    <m/>
    <m/>
    <m/>
    <m/>
    <m/>
    <s v="Marion Caris"/>
    <m/>
  </r>
  <r>
    <d v="2026-02-27T00:00:00"/>
    <s v="Rechnung RE1335"/>
    <x v="0"/>
    <x v="85"/>
    <m/>
    <m/>
    <x v="0"/>
    <n v="320.73"/>
    <m/>
    <x v="0"/>
    <x v="0"/>
    <m/>
    <m/>
    <m/>
    <m/>
    <m/>
    <s v="Marion Caris"/>
    <m/>
  </r>
  <r>
    <d v="2026-04-22T00:00:00"/>
    <s v="Rechnung I-04274"/>
    <x v="3"/>
    <x v="86"/>
    <m/>
    <m/>
    <x v="0"/>
    <m/>
    <m/>
    <x v="0"/>
    <x v="0"/>
    <n v="568.15"/>
    <m/>
    <m/>
    <m/>
    <m/>
    <s v="Yabylon"/>
    <m/>
  </r>
  <r>
    <d v="2026-04-22T00:00:00"/>
    <s v="Rechnung I-04275 "/>
    <x v="3"/>
    <x v="87"/>
    <m/>
    <m/>
    <x v="0"/>
    <m/>
    <n v="562.45000000000005"/>
    <x v="0"/>
    <x v="0"/>
    <m/>
    <m/>
    <m/>
    <m/>
    <m/>
    <s v="Yabylon"/>
    <m/>
  </r>
  <r>
    <d v="2026-04-22T00:00:00"/>
    <s v="Rechnung I-04276"/>
    <x v="1"/>
    <x v="88"/>
    <m/>
    <m/>
    <x v="0"/>
    <m/>
    <n v="147.66"/>
    <x v="0"/>
    <x v="0"/>
    <m/>
    <m/>
    <m/>
    <m/>
    <m/>
    <s v="Yabylon"/>
    <m/>
  </r>
  <r>
    <d v="2026-04-22T00:00:00"/>
    <s v="Rechnung 1-04277"/>
    <x v="3"/>
    <x v="89"/>
    <m/>
    <m/>
    <x v="0"/>
    <m/>
    <n v="34.51"/>
    <x v="0"/>
    <x v="0"/>
    <m/>
    <m/>
    <m/>
    <m/>
    <m/>
    <s v="Yabylon"/>
    <m/>
  </r>
  <r>
    <d v="2026-04-22T00:00:00"/>
    <s v="Rechnung 1-04278"/>
    <x v="3"/>
    <x v="90"/>
    <m/>
    <m/>
    <x v="0"/>
    <m/>
    <m/>
    <x v="0"/>
    <x v="0"/>
    <n v="34.51"/>
    <m/>
    <m/>
    <m/>
    <m/>
    <s v="Yabylon"/>
    <m/>
  </r>
  <r>
    <m/>
    <m/>
    <x v="6"/>
    <x v="91"/>
    <m/>
    <m/>
    <x v="0"/>
    <m/>
    <m/>
    <x v="0"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21EE9-7337-427B-8AFF-CBE6DF2EBB5D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7" indent="0" outline="1" outlineData="1" multipleFieldFilters="0">
  <location ref="A3:J10" firstHeaderRow="0" firstDataRow="1" firstDataCol="1"/>
  <pivotFields count="18">
    <pivotField showAll="0"/>
    <pivotField showAll="0"/>
    <pivotField axis="axisRow" multipleItemSelectionAllowed="1" showAll="0">
      <items count="8">
        <item x="4"/>
        <item x="1"/>
        <item x="3"/>
        <item x="5"/>
        <item x="2"/>
        <item x="0"/>
        <item h="1" x="6"/>
        <item t="default"/>
      </items>
    </pivotField>
    <pivotField showAll="0">
      <items count="93">
        <item x="6"/>
        <item x="28"/>
        <item x="52"/>
        <item x="17"/>
        <item x="12"/>
        <item x="15"/>
        <item x="13"/>
        <item x="16"/>
        <item x="14"/>
        <item x="20"/>
        <item x="23"/>
        <item x="31"/>
        <item x="32"/>
        <item x="29"/>
        <item x="30"/>
        <item x="33"/>
        <item x="48"/>
        <item x="53"/>
        <item x="54"/>
        <item x="59"/>
        <item x="61"/>
        <item x="60"/>
        <item x="68"/>
        <item x="69"/>
        <item x="70"/>
        <item x="73"/>
        <item x="74"/>
        <item x="75"/>
        <item x="76"/>
        <item x="81"/>
        <item x="87"/>
        <item x="86"/>
        <item x="88"/>
        <item x="5"/>
        <item x="24"/>
        <item x="25"/>
        <item x="26"/>
        <item x="27"/>
        <item x="10"/>
        <item x="11"/>
        <item x="18"/>
        <item x="19"/>
        <item x="21"/>
        <item x="22"/>
        <item x="34"/>
        <item x="36"/>
        <item x="37"/>
        <item x="38"/>
        <item x="35"/>
        <item x="40"/>
        <item x="39"/>
        <item x="42"/>
        <item x="41"/>
        <item x="44"/>
        <item x="43"/>
        <item x="55"/>
        <item x="45"/>
        <item x="46"/>
        <item x="47"/>
        <item x="49"/>
        <item x="50"/>
        <item x="51"/>
        <item x="56"/>
        <item x="57"/>
        <item x="58"/>
        <item x="62"/>
        <item x="63"/>
        <item x="65"/>
        <item x="64"/>
        <item x="66"/>
        <item x="67"/>
        <item x="71"/>
        <item x="72"/>
        <item x="77"/>
        <item x="78"/>
        <item x="79"/>
        <item x="80"/>
        <item x="82"/>
        <item x="83"/>
        <item x="84"/>
        <item x="89"/>
        <item x="90"/>
        <item x="7"/>
        <item x="85"/>
        <item x="0"/>
        <item x="1"/>
        <item x="4"/>
        <item x="2"/>
        <item x="3"/>
        <item x="8"/>
        <item x="9"/>
        <item x="91"/>
        <item t="default"/>
      </items>
    </pivotField>
    <pivotField dataField="1" showAll="0"/>
    <pivotField dataField="1" showAll="0"/>
    <pivotField showAll="0">
      <items count="2">
        <item x="0"/>
        <item t="default"/>
      </items>
    </pivotField>
    <pivotField dataField="1" showAll="0"/>
    <pivotField dataField="1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me von EN" fld="4" baseField="0" baseItem="0"/>
    <dataField name="Summe von IT" fld="5" baseField="0" baseItem="0"/>
    <dataField name="Summe von NL" fld="7" baseField="0" baseItem="0"/>
    <dataField name="Summe von PL" fld="8" baseField="0" baseItem="0"/>
    <dataField name="Summe von SL" fld="11" baseField="0" baseItem="0"/>
    <dataField name="Summe von SV" fld="12" baseField="0" baseItem="0"/>
    <dataField name="Summe von FI" fld="13" baseField="0" baseItem="0"/>
    <dataField name="Summe von NW" fld="14" baseField="0" baseItem="0"/>
    <dataField name="Summe von DA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8AD02-1664-4959-AA3C-69CCCCC5A68F}" name="Tabelle1" displayName="Tabelle1" ref="A3:B16" totalsRowShown="0">
  <tableColumns count="2">
    <tableColumn id="1" xr3:uid="{4DC5DE11-EF15-429D-B2D0-C9BEB382C72E}" name="Sprache" dataDxfId="14"/>
    <tableColumn id="2" xr3:uid="{E8993B5C-A56B-4F0D-9A21-FC034C3F9EDC}" name="Kosten" dataDxfId="13">
      <calculatedColumnFormula>SUM(INDEX('2026'!$E$2:$Q$938,,MATCH(A4,'2026'!$E$1:$Q$1,0)))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81326-124A-409B-AAEF-A95F61AFEA53}" name="Tabelle2" displayName="Tabelle2" ref="E3:Q11" totalsRowShown="0" headerRowDxfId="12">
  <tableColumns count="13">
    <tableColumn id="1" xr3:uid="{76065674-BEE8-4005-917B-CEF37C2D6826}" name="Bereich"/>
    <tableColumn id="2" xr3:uid="{C97EF17C-E9B6-423B-9DDE-578C1A4F2906}" name="DA" dataDxfId="11"/>
    <tableColumn id="3" xr3:uid="{F78BB764-394A-4F4A-AC57-653465935206}" name="EN" dataDxfId="10"/>
    <tableColumn id="4" xr3:uid="{2FC2E34E-1723-4282-AE1D-2D4790DE99A1}" name="ES" dataDxfId="9"/>
    <tableColumn id="14" xr3:uid="{82DA3CE8-7B03-4CB8-9453-5AE548BDEA7A}" name="GR" dataDxfId="8">
      <calculatedColumnFormula>SUMIFS('2026'!Q:Q,'2026'!C:C,Dashboard!E5)</calculatedColumnFormula>
    </tableColumn>
    <tableColumn id="5" xr3:uid="{0F78120C-C76A-4C69-A20F-7E82EFF680F8}" name="FI" dataDxfId="7"/>
    <tableColumn id="6" xr3:uid="{7B874654-A056-4EB8-B49D-E14443C2FB96}" name="IT" dataDxfId="6"/>
    <tableColumn id="7" xr3:uid="{8DC83E6F-B85D-480C-846A-CF22FDEF65F2}" name="NL" dataDxfId="5"/>
    <tableColumn id="8" xr3:uid="{B605A3B9-A3EC-4DA2-A242-90D2A84373D6}" name="NW" dataDxfId="4"/>
    <tableColumn id="9" xr3:uid="{5C376A25-4EBB-4936-9348-AE39E835EE8B}" name="PL" dataDxfId="3"/>
    <tableColumn id="10" xr3:uid="{9A924FBA-D69C-47BF-88E9-1CB8082A5A45}" name="PT" dataDxfId="2"/>
    <tableColumn id="11" xr3:uid="{408263B0-F159-4063-ADD6-0803E6C349D9}" name="SL" dataDxfId="1"/>
    <tableColumn id="12" xr3:uid="{73754F71-9B40-43AB-8747-1556948DEB98}" name="SV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AD04-6609-4A85-8F5D-CF5B6D14C706}">
  <dimension ref="A3:J10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2.42578125" bestFit="1" customWidth="1"/>
    <col min="2" max="2" width="14.28515625" bestFit="1" customWidth="1"/>
    <col min="3" max="3" width="13.42578125" bestFit="1" customWidth="1"/>
    <col min="4" max="4" width="14.140625" bestFit="1" customWidth="1"/>
    <col min="5" max="5" width="13.85546875" bestFit="1" customWidth="1"/>
    <col min="6" max="6" width="13.7109375" bestFit="1" customWidth="1"/>
    <col min="7" max="7" width="14.140625" bestFit="1" customWidth="1"/>
    <col min="8" max="8" width="13.42578125" bestFit="1" customWidth="1"/>
    <col min="9" max="9" width="15.28515625" bestFit="1" customWidth="1"/>
    <col min="10" max="10" width="14.42578125" bestFit="1" customWidth="1"/>
  </cols>
  <sheetData>
    <row r="3" spans="1:10" x14ac:dyDescent="0.25">
      <c r="A3" s="25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5">
      <c r="A4" s="26" t="s">
        <v>10</v>
      </c>
      <c r="E4">
        <v>101.97</v>
      </c>
    </row>
    <row r="5" spans="1:10" x14ac:dyDescent="0.25">
      <c r="A5" s="26" t="s">
        <v>11</v>
      </c>
      <c r="C5">
        <v>1905.8</v>
      </c>
      <c r="D5">
        <v>235.14</v>
      </c>
      <c r="E5">
        <v>1139.98</v>
      </c>
      <c r="F5">
        <v>159.96</v>
      </c>
      <c r="H5">
        <v>159.54</v>
      </c>
      <c r="I5">
        <v>159.96</v>
      </c>
      <c r="J5">
        <v>152.80000000000001</v>
      </c>
    </row>
    <row r="6" spans="1:10" x14ac:dyDescent="0.25">
      <c r="A6" s="26" t="s">
        <v>12</v>
      </c>
      <c r="E6">
        <v>4390.99</v>
      </c>
      <c r="F6">
        <v>4323.7299999999996</v>
      </c>
    </row>
    <row r="7" spans="1:10" x14ac:dyDescent="0.25">
      <c r="A7" s="26" t="s">
        <v>13</v>
      </c>
      <c r="B7">
        <v>104.58</v>
      </c>
      <c r="E7">
        <v>680.82</v>
      </c>
    </row>
    <row r="8" spans="1:10" x14ac:dyDescent="0.25">
      <c r="A8" s="26" t="s">
        <v>14</v>
      </c>
      <c r="C8">
        <v>30.36</v>
      </c>
      <c r="E8">
        <v>1227.6199999999999</v>
      </c>
      <c r="F8">
        <v>140.23000000000002</v>
      </c>
      <c r="G8">
        <v>2213.06</v>
      </c>
      <c r="H8">
        <v>2510.58</v>
      </c>
      <c r="I8">
        <v>2635.2499999999995</v>
      </c>
      <c r="J8">
        <v>2421.9400000000005</v>
      </c>
    </row>
    <row r="9" spans="1:10" x14ac:dyDescent="0.25">
      <c r="A9" s="26" t="s">
        <v>15</v>
      </c>
      <c r="C9">
        <v>3281.38</v>
      </c>
      <c r="D9">
        <v>320.73</v>
      </c>
      <c r="E9">
        <v>621.51</v>
      </c>
    </row>
    <row r="10" spans="1:10" x14ac:dyDescent="0.25">
      <c r="A10" s="26" t="s">
        <v>16</v>
      </c>
      <c r="B10">
        <v>104.58</v>
      </c>
      <c r="C10">
        <v>5217.54</v>
      </c>
      <c r="D10">
        <v>555.87</v>
      </c>
      <c r="E10">
        <v>8162.8899999999994</v>
      </c>
      <c r="F10">
        <v>4623.92</v>
      </c>
      <c r="G10">
        <v>2213.06</v>
      </c>
      <c r="H10">
        <v>2670.12</v>
      </c>
      <c r="I10">
        <v>2795.2099999999996</v>
      </c>
      <c r="J10">
        <v>2574.7400000000007</v>
      </c>
    </row>
  </sheetData>
  <pageMargins left="0.7" right="0.7" top="0.78740157499999996" bottom="0.78740157499999996" header="0.3" footer="0.3"/>
  <headerFooter>
    <oddFooter>&amp;C_x000D_&amp;1#&amp;"Aptos"&amp;10&amp;K000000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0EC9-BE92-44DF-9A77-76336A22065D}">
  <dimension ref="A1:Q16"/>
  <sheetViews>
    <sheetView tabSelected="1" workbookViewId="0">
      <selection activeCell="F35" sqref="F35"/>
    </sheetView>
  </sheetViews>
  <sheetFormatPr baseColWidth="10" defaultColWidth="11.42578125" defaultRowHeight="15" x14ac:dyDescent="0.25"/>
  <cols>
    <col min="1" max="1" width="19.42578125" customWidth="1"/>
    <col min="5" max="5" width="24" customWidth="1"/>
    <col min="6" max="6" width="13.85546875" bestFit="1" customWidth="1"/>
    <col min="7" max="7" width="13.42578125" bestFit="1" customWidth="1"/>
    <col min="8" max="8" width="14.140625" bestFit="1" customWidth="1"/>
    <col min="9" max="9" width="14.140625" customWidth="1"/>
    <col min="10" max="10" width="13.85546875" bestFit="1" customWidth="1"/>
    <col min="11" max="11" width="13.7109375" bestFit="1" customWidth="1"/>
    <col min="12" max="12" width="14.140625" bestFit="1" customWidth="1"/>
    <col min="13" max="13" width="13.42578125" bestFit="1" customWidth="1"/>
    <col min="14" max="14" width="15.28515625" bestFit="1" customWidth="1"/>
    <col min="15" max="15" width="14.42578125" bestFit="1" customWidth="1"/>
  </cols>
  <sheetData>
    <row r="1" spans="1:17" ht="84" customHeight="1" x14ac:dyDescent="0.25">
      <c r="A1" s="38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3" spans="1:17" ht="17.25" customHeight="1" x14ac:dyDescent="0.25">
      <c r="A3" s="7" t="s">
        <v>18</v>
      </c>
      <c r="B3" s="5" t="s">
        <v>19</v>
      </c>
      <c r="E3" s="27" t="s">
        <v>20</v>
      </c>
      <c r="F3" s="27" t="s">
        <v>21</v>
      </c>
      <c r="G3" s="27" t="s">
        <v>22</v>
      </c>
      <c r="H3" s="27" t="s">
        <v>23</v>
      </c>
      <c r="I3" s="27" t="s">
        <v>24</v>
      </c>
      <c r="J3" s="27" t="s">
        <v>25</v>
      </c>
      <c r="K3" s="27" t="s">
        <v>26</v>
      </c>
      <c r="L3" s="27" t="s">
        <v>27</v>
      </c>
      <c r="M3" s="27" t="s">
        <v>28</v>
      </c>
      <c r="N3" s="27" t="s">
        <v>29</v>
      </c>
      <c r="O3" s="27" t="s">
        <v>30</v>
      </c>
      <c r="P3" s="27" t="s">
        <v>31</v>
      </c>
      <c r="Q3" s="27" t="s">
        <v>32</v>
      </c>
    </row>
    <row r="4" spans="1:17" x14ac:dyDescent="0.25">
      <c r="A4" s="7" t="s">
        <v>33</v>
      </c>
      <c r="B4" s="5">
        <f>SUM(INDEX('2026'!$E$2:$Q$938,,MATCH(A4,'2026'!$E$1:$Q$1,0)))</f>
        <v>0</v>
      </c>
      <c r="E4" t="s">
        <v>10</v>
      </c>
      <c r="F4" s="5">
        <f>SUMIFS('2026'!P:P,'2026'!C:C,Dashboard!E4)</f>
        <v>0</v>
      </c>
      <c r="G4" s="5">
        <f>SUMIFS('2026'!E:E,'2026'!C:C,Dashboard!E4)</f>
        <v>104.58</v>
      </c>
      <c r="H4" s="5">
        <f>SUMIFS('2026'!G:G,'2026'!C:C,Dashboard!E4)</f>
        <v>91.21</v>
      </c>
      <c r="I4" s="5">
        <f>SUMIFS('2026'!Q:Q,'2026'!C:C,Dashboard!E5)</f>
        <v>0</v>
      </c>
      <c r="J4" s="5">
        <f>SUMIFS('2026'!N:N,'2026'!C:C,Dashboard!E4)</f>
        <v>0</v>
      </c>
      <c r="K4" s="5">
        <f>SUMIFS('2026'!F:F,'2026'!C:C,Dashboard!E4)</f>
        <v>0</v>
      </c>
      <c r="L4" s="5">
        <f>SUMIFS('2026'!H:H,'2026'!C:C,Dashboard!E4)</f>
        <v>0</v>
      </c>
      <c r="M4" s="5">
        <f>SUMIFS('2026'!O:O,'2026'!C:C,Dashboard!E4)</f>
        <v>0</v>
      </c>
      <c r="N4" s="5">
        <f>SUMIFS('2026'!I:I,'2026'!C:C,Dashboard!E4)</f>
        <v>782.79000000000008</v>
      </c>
      <c r="O4" s="5">
        <f>SUMIFS('2026'!J:J,'2026'!C:C,Dashboard!E4)</f>
        <v>0</v>
      </c>
      <c r="P4" s="5">
        <f>SUMIFS('2026'!L:L,'2026'!C:C,Dashboard!E4)</f>
        <v>0</v>
      </c>
      <c r="Q4" s="5">
        <f>SUMIFS('2026'!M:M,'2026'!C:C,Dashboard!E4)</f>
        <v>0</v>
      </c>
    </row>
    <row r="5" spans="1:17" x14ac:dyDescent="0.25">
      <c r="A5" s="7" t="s">
        <v>21</v>
      </c>
      <c r="B5" s="5">
        <f>SUM(INDEX('2026'!$E$2:$Q$938,,MATCH(A5,'2026'!$E$1:$Q$1,0)))</f>
        <v>2899.3100000000009</v>
      </c>
      <c r="E5" t="s">
        <v>34</v>
      </c>
      <c r="F5" s="5">
        <f>SUMIFS('2026'!P:P,'2026'!C:C,Dashboard!E5)</f>
        <v>152.80000000000001</v>
      </c>
      <c r="G5" s="5">
        <f>SUMIFS('2026'!E:E,'2026'!C:C,Dashboard!E5)</f>
        <v>0</v>
      </c>
      <c r="H5" s="5">
        <f>SUMIFS('2026'!P:P,'2026'!G:G,Dashboard!E5)</f>
        <v>0</v>
      </c>
      <c r="I5" s="5">
        <f>SUMIFS('2026'!Q:Q,'2026'!C:C,Dashboard!E6)</f>
        <v>347.83000000000004</v>
      </c>
      <c r="J5" s="5">
        <f>SUMIFS('2026'!N:N,'2026'!C:C,Dashboard!E5)</f>
        <v>159.54</v>
      </c>
      <c r="K5" s="5">
        <f>SUMIFS('2026'!F:F,'2026'!C:C,Dashboard!E5)</f>
        <v>5598.0599999999995</v>
      </c>
      <c r="L5" s="5">
        <f>SUMIFS('2026'!H:H,'2026'!C:C,Dashboard!E5)</f>
        <v>235.14</v>
      </c>
      <c r="M5" s="5">
        <f>SUMIFS('2026'!O:O,'2026'!C:C,Dashboard!E5)</f>
        <v>159.96</v>
      </c>
      <c r="N5" s="5">
        <f>SUMIFS('2026'!I:I,'2026'!C:C,Dashboard!E5)</f>
        <v>1209</v>
      </c>
      <c r="O5" s="5">
        <f>SUMIFS('2026'!J:J,'2026'!C:C,Dashboard!E5)</f>
        <v>0</v>
      </c>
      <c r="P5" s="5">
        <f>SUMIFS('2026'!L:L,'2026'!C:C,Dashboard!E5)</f>
        <v>159.96</v>
      </c>
      <c r="Q5" s="5">
        <f>SUMIFS('2026'!M:M,'2026'!C:C,Dashboard!E5)</f>
        <v>0</v>
      </c>
    </row>
    <row r="6" spans="1:17" x14ac:dyDescent="0.25">
      <c r="A6" s="7" t="s">
        <v>22</v>
      </c>
      <c r="B6" s="5">
        <f>SUM(INDEX('2026'!$E$2:$Q$938,,MATCH(A6,'2026'!$E$1:$Q$1,0)))</f>
        <v>104.58</v>
      </c>
      <c r="E6" t="s">
        <v>35</v>
      </c>
      <c r="F6" s="5">
        <f>SUMIFS('2026'!P:P,'2026'!C:C,Dashboard!E6)</f>
        <v>0</v>
      </c>
      <c r="G6" s="5">
        <f>SUMIFS('2026'!E:E,'2026'!C:C,Dashboard!E6)</f>
        <v>0</v>
      </c>
      <c r="H6" s="5">
        <f>SUMIFS('2026'!R:R,'2026'!G:G,Dashboard!G6)</f>
        <v>0</v>
      </c>
      <c r="I6" s="5">
        <f>SUMIFS('2026'!Q:Q,'2026'!C:C,Dashboard!E7)</f>
        <v>0</v>
      </c>
      <c r="J6" s="5">
        <f>SUMIFS('2026'!N:N,'2026'!C:C,Dashboard!E6)</f>
        <v>0</v>
      </c>
      <c r="K6" s="5">
        <f>SUMIFS('2026'!F:F,'2026'!C:C,Dashboard!E6)</f>
        <v>19.649999999999999</v>
      </c>
      <c r="L6" s="5">
        <f>SUMIFS('2026'!H:H,'2026'!C:C,Dashboard!E6)</f>
        <v>0</v>
      </c>
      <c r="M6" s="5">
        <f>SUMIFS('2026'!O:O,'2026'!C:C,Dashboard!E6)</f>
        <v>0</v>
      </c>
      <c r="N6" s="5">
        <f>SUMIFS('2026'!I:I,'2026'!C:C,Dashboard!E6)</f>
        <v>8166.2299999999987</v>
      </c>
      <c r="O6" s="5">
        <f>SUMIFS('2026'!J:J,'2026'!C:C,Dashboard!E6)</f>
        <v>0</v>
      </c>
      <c r="P6" s="5">
        <f>SUMIFS('2026'!L:L,'2026'!C:C,Dashboard!E6)</f>
        <v>10929.840000000006</v>
      </c>
      <c r="Q6" s="5">
        <f>SUMIFS('2026'!M:M,'2026'!C:C,Dashboard!E6)</f>
        <v>0</v>
      </c>
    </row>
    <row r="7" spans="1:17" x14ac:dyDescent="0.25">
      <c r="A7" s="7" t="s">
        <v>23</v>
      </c>
      <c r="B7" s="5">
        <f>SUM(INDEX('2026'!$E$2:$Q$938,,MATCH(A7,'2026'!$E$1:$Q$1,0)))</f>
        <v>91.21</v>
      </c>
      <c r="E7" t="s">
        <v>36</v>
      </c>
      <c r="F7" s="5">
        <f>SUMIFS('2026'!P:P,'2026'!C:C,Dashboard!E7)</f>
        <v>0</v>
      </c>
      <c r="G7" s="5">
        <f>SUMIFS('2026'!E:E,'2026'!C:C,Dashboard!E7)</f>
        <v>0</v>
      </c>
      <c r="H7" s="5">
        <f>SUMIFS('2026'!R:R,'2026'!G:G,Dashboard!G7)</f>
        <v>0</v>
      </c>
      <c r="I7" s="5">
        <f>SUMIFS('2026'!Q:Q,'2026'!C:C,Dashboard!E8)</f>
        <v>223.43</v>
      </c>
      <c r="J7" s="5">
        <f>SUMIFS('2026'!N:N,'2026'!C:C,Dashboard!E7)</f>
        <v>0</v>
      </c>
      <c r="K7" s="5">
        <f>SUMIFS('2026'!F:F,'2026'!C:C,Dashboard!E7)</f>
        <v>0</v>
      </c>
      <c r="L7" s="5">
        <f>SUMIFS('2026'!H:H,'2026'!C:C,Dashboard!E7)</f>
        <v>0</v>
      </c>
      <c r="M7" s="5">
        <f>SUMIFS('2026'!O:O,'2026'!C:C,Dashboard!E7)</f>
        <v>0</v>
      </c>
      <c r="N7" s="5">
        <f>SUMIFS('2026'!I:I,'2026'!C:C,Dashboard!E7)</f>
        <v>668.84999999999991</v>
      </c>
      <c r="O7" s="5">
        <f>SUMIFS('2026'!J:J,'2026'!C:C,Dashboard!E7)</f>
        <v>0</v>
      </c>
      <c r="P7" s="5">
        <f>SUMIFS('2026'!L:L,'2026'!C:C,Dashboard!E7)</f>
        <v>69.02</v>
      </c>
      <c r="Q7" s="5">
        <f>SUMIFS('2026'!M:M,'2026'!C:C,Dashboard!E7)</f>
        <v>0</v>
      </c>
    </row>
    <row r="8" spans="1:17" x14ac:dyDescent="0.25">
      <c r="A8" s="7" t="s">
        <v>24</v>
      </c>
      <c r="B8" s="5">
        <f>SUM(INDEX('2026'!$E$2:$Q$938,,MATCH(A8,'2026'!$E$1:$Q$1,0)))</f>
        <v>1178.21</v>
      </c>
      <c r="E8" t="s">
        <v>37</v>
      </c>
      <c r="F8" s="5">
        <f>SUMIFS('2026'!P:P,'2026'!C:C,Dashboard!E8)</f>
        <v>0</v>
      </c>
      <c r="G8" s="5">
        <f>SUMIFS('2026'!E:E,'2026'!C:C,Dashboard!E8)</f>
        <v>0</v>
      </c>
      <c r="H8" s="5">
        <f>SUMIFS('2026'!R:R,'2026'!G:G,Dashboard!G8)</f>
        <v>0</v>
      </c>
      <c r="I8" s="5">
        <f>SUMIFS('2026'!Q:Q,'2026'!C:C,Dashboard!E9)</f>
        <v>564.82000000000005</v>
      </c>
      <c r="J8" s="5">
        <f>SUMIFS('2026'!N:N,'2026'!C:C,Dashboard!E8)</f>
        <v>0</v>
      </c>
      <c r="K8" s="5">
        <f>SUMIFS('2026'!F:F,'2026'!C:C,Dashboard!E8)</f>
        <v>0</v>
      </c>
      <c r="L8" s="5">
        <f>SUMIFS('2026'!H:H,'2026'!C:C,Dashboard!E8)</f>
        <v>0</v>
      </c>
      <c r="M8" s="5">
        <f>SUMIFS('2026'!O:O,'2026'!C:C,Dashboard!E8)</f>
        <v>0</v>
      </c>
      <c r="N8" s="5">
        <f>SUMIFS('2026'!I:I,'2026'!C:C,Dashboard!E8)</f>
        <v>491.33</v>
      </c>
      <c r="O8" s="5">
        <f>SUMIFS('2026'!J:J,'2026'!C:C,Dashboard!E8)</f>
        <v>0</v>
      </c>
      <c r="P8" s="5">
        <f>SUMIFS('2026'!L:L,'2026'!C:C,Dashboard!E8)</f>
        <v>0</v>
      </c>
      <c r="Q8" s="5">
        <f>SUMIFS('2026'!M:M,'2026'!C:C,Dashboard!E8)</f>
        <v>0</v>
      </c>
    </row>
    <row r="9" spans="1:17" x14ac:dyDescent="0.25">
      <c r="A9" s="7" t="s">
        <v>25</v>
      </c>
      <c r="B9" s="5">
        <f>SUM(INDEX('2026'!$E$2:$Q$938,,MATCH(A9,'2026'!$E$1:$Q$1,0)))</f>
        <v>2937.73</v>
      </c>
      <c r="E9" t="s">
        <v>38</v>
      </c>
      <c r="F9" s="5">
        <f>SUMIFS('2026'!P:P,'2026'!C:C,Dashboard!E9)</f>
        <v>0</v>
      </c>
      <c r="G9" s="5">
        <f>SUMIFS('2026'!E:E,'2026'!C:C,Dashboard!E9)</f>
        <v>0</v>
      </c>
      <c r="H9" s="5">
        <f>SUMIFS('2026'!R:R,'2026'!G:G,Dashboard!G9)</f>
        <v>0</v>
      </c>
      <c r="I9" s="5">
        <f>SUMIFS('2026'!Q:Q,'2026'!C:C,Dashboard!E10)</f>
        <v>42.13</v>
      </c>
      <c r="J9" s="5">
        <f>SUMIFS('2026'!N:N,'2026'!C:C,Dashboard!E9)</f>
        <v>0</v>
      </c>
      <c r="K9" s="5">
        <f>SUMIFS('2026'!F:F,'2026'!C:C,Dashboard!E9)</f>
        <v>4802.7100000000009</v>
      </c>
      <c r="L9" s="5">
        <f>SUMIFS('2026'!H:H,'2026'!C:C,Dashboard!E9)</f>
        <v>1910.91</v>
      </c>
      <c r="M9" s="5">
        <f>SUMIFS('2026'!O:O,'2026'!C:C,Dashboard!E9)</f>
        <v>0</v>
      </c>
      <c r="N9" s="5">
        <f>SUMIFS('2026'!I:I,'2026'!C:C,Dashboard!E9)</f>
        <v>69.02</v>
      </c>
      <c r="O9" s="5">
        <f>SUMIFS('2026'!J:J,'2026'!C:C,Dashboard!E9)</f>
        <v>0</v>
      </c>
      <c r="P9" s="5">
        <f>SUMIFS('2026'!L:L,'2026'!C:C,Dashboard!E9)</f>
        <v>0</v>
      </c>
      <c r="Q9" s="5">
        <f>SUMIFS('2026'!M:M,'2026'!C:C,Dashboard!E9)</f>
        <v>0</v>
      </c>
    </row>
    <row r="10" spans="1:17" x14ac:dyDescent="0.25">
      <c r="A10" s="7" t="s">
        <v>26</v>
      </c>
      <c r="B10" s="5">
        <f>SUM(INDEX('2026'!$E$2:$Q$938,,MATCH(A10,'2026'!$E$1:$Q$1,0)))</f>
        <v>10450.779999999999</v>
      </c>
      <c r="E10" t="s">
        <v>39</v>
      </c>
      <c r="F10" s="5">
        <f>SUMIFS('2026'!P:P,'2026'!C:C,Dashboard!E10)</f>
        <v>2746.5100000000007</v>
      </c>
      <c r="G10" s="5">
        <f>SUMIFS('2026'!E:E,'2026'!C:C,Dashboard!E10)</f>
        <v>0</v>
      </c>
      <c r="H10" s="5">
        <f>SUMIFS('2026'!R:R,'2026'!G:G,Dashboard!G10)</f>
        <v>0</v>
      </c>
      <c r="I10" s="5">
        <f>SUMIFS('2026'!Q:Q,'2026'!C:C,Dashboard!E11)</f>
        <v>0</v>
      </c>
      <c r="J10" s="5">
        <f>SUMIFS('2026'!N:N,'2026'!C:C,Dashboard!E10)</f>
        <v>2778.19</v>
      </c>
      <c r="K10" s="5">
        <f>SUMIFS('2026'!F:F,'2026'!C:C,Dashboard!E10)</f>
        <v>30.36</v>
      </c>
      <c r="L10" s="5">
        <f>SUMIFS('2026'!H:H,'2026'!C:C,Dashboard!E10)</f>
        <v>0</v>
      </c>
      <c r="M10" s="5">
        <f>SUMIFS('2026'!O:O,'2026'!C:C,Dashboard!E10)</f>
        <v>2903.4299999999994</v>
      </c>
      <c r="N10" s="5">
        <f>SUMIFS('2026'!I:I,'2026'!C:C,Dashboard!E10)</f>
        <v>787.44999999999993</v>
      </c>
      <c r="O10" s="5">
        <f>SUMIFS('2026'!J:J,'2026'!C:C,Dashboard!E10)</f>
        <v>194.02</v>
      </c>
      <c r="P10" s="5">
        <f>SUMIFS('2026'!L:L,'2026'!C:C,Dashboard!E10)</f>
        <v>263.89</v>
      </c>
      <c r="Q10" s="5">
        <f>SUMIFS('2026'!M:M,'2026'!C:C,Dashboard!E10)</f>
        <v>2480.39</v>
      </c>
    </row>
    <row r="11" spans="1:17" x14ac:dyDescent="0.25">
      <c r="A11" s="7" t="s">
        <v>27</v>
      </c>
      <c r="B11" s="5">
        <f>SUM(INDEX('2026'!$E$2:$Q$938,,MATCH(A11,'2026'!$E$1:$Q$1,0)))</f>
        <v>2146.0500000000002</v>
      </c>
      <c r="E11" s="1" t="s">
        <v>40</v>
      </c>
      <c r="F11" s="5">
        <f t="shared" ref="F11:Q11" si="0">SUM(F4:F10)</f>
        <v>2899.3100000000009</v>
      </c>
      <c r="G11" s="5">
        <f t="shared" si="0"/>
        <v>104.58</v>
      </c>
      <c r="H11" s="5">
        <f t="shared" si="0"/>
        <v>91.21</v>
      </c>
      <c r="I11" s="5">
        <f t="shared" si="0"/>
        <v>1178.21</v>
      </c>
      <c r="J11" s="5">
        <f t="shared" si="0"/>
        <v>2937.73</v>
      </c>
      <c r="K11" s="5">
        <f t="shared" si="0"/>
        <v>10450.780000000001</v>
      </c>
      <c r="L11" s="5">
        <f t="shared" si="0"/>
        <v>2146.0500000000002</v>
      </c>
      <c r="M11" s="5">
        <f t="shared" si="0"/>
        <v>3063.3899999999994</v>
      </c>
      <c r="N11" s="5">
        <f t="shared" si="0"/>
        <v>12174.67</v>
      </c>
      <c r="O11" s="5">
        <f t="shared" si="0"/>
        <v>194.02</v>
      </c>
      <c r="P11" s="5">
        <f t="shared" si="0"/>
        <v>11422.710000000005</v>
      </c>
      <c r="Q11" s="5">
        <f t="shared" si="0"/>
        <v>2480.39</v>
      </c>
    </row>
    <row r="12" spans="1:17" x14ac:dyDescent="0.25">
      <c r="A12" s="7" t="s">
        <v>28</v>
      </c>
      <c r="B12" s="5">
        <f>SUM(INDEX('2026'!$E$2:$Q$938,,MATCH(A12,'2026'!$E$1:$Q$1,0)))</f>
        <v>3063.3899999999994</v>
      </c>
    </row>
    <row r="13" spans="1:17" x14ac:dyDescent="0.25">
      <c r="A13" s="7" t="s">
        <v>29</v>
      </c>
      <c r="B13" s="5">
        <f>SUM(INDEX('2026'!$E$2:$Q$938,,MATCH(A13,'2026'!$E$1:$Q$1,0)))</f>
        <v>12318.45</v>
      </c>
    </row>
    <row r="14" spans="1:17" x14ac:dyDescent="0.25">
      <c r="A14" s="7" t="s">
        <v>30</v>
      </c>
      <c r="B14" s="5">
        <f>SUM(INDEX('2026'!$E$2:$Q$938,,MATCH(A14,'2026'!$E$1:$Q$1,0)))</f>
        <v>194.02</v>
      </c>
    </row>
    <row r="15" spans="1:17" x14ac:dyDescent="0.25">
      <c r="A15" s="7" t="s">
        <v>31</v>
      </c>
      <c r="B15" s="5">
        <f>SUM(INDEX('2026'!$E$2:$Q$938,,MATCH(A15,'2026'!$E$1:$Q$1,0)))</f>
        <v>11422.710000000006</v>
      </c>
    </row>
    <row r="16" spans="1:17" x14ac:dyDescent="0.25">
      <c r="A16" s="7" t="s">
        <v>32</v>
      </c>
      <c r="B16" s="5">
        <f>SUM(INDEX('2026'!$E$2:$Q$938,,MATCH(A16,'2026'!$E$1:$Q$1,0)))</f>
        <v>2480.39</v>
      </c>
    </row>
  </sheetData>
  <sortState xmlns:xlrd2="http://schemas.microsoft.com/office/spreadsheetml/2017/richdata2" ref="A3:A16389">
    <sortCondition ref="A3:A16389"/>
  </sortState>
  <mergeCells count="1">
    <mergeCell ref="A1:Q1"/>
  </mergeCells>
  <pageMargins left="0.7" right="0.7" top="0.78740157499999996" bottom="0.78740157499999996" header="0.3" footer="0.3"/>
  <pageSetup paperSize="9" orientation="portrait" r:id="rId1"/>
  <headerFooter>
    <oddFooter>&amp;C_x000D_&amp;1#&amp;"Aptos"&amp;10&amp;K000000 Confidential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9AC5-A36C-430C-83D1-DFE057B97C29}">
  <dimension ref="A1:S184"/>
  <sheetViews>
    <sheetView zoomScaleNormal="100" workbookViewId="0">
      <pane ySplit="1" topLeftCell="A155" activePane="bottomLeft" state="frozen"/>
      <selection pane="bottomLeft" activeCell="H185" sqref="H185"/>
    </sheetView>
  </sheetViews>
  <sheetFormatPr baseColWidth="10" defaultColWidth="11.42578125" defaultRowHeight="15" x14ac:dyDescent="0.25"/>
  <cols>
    <col min="2" max="2" width="26.7109375" customWidth="1"/>
    <col min="3" max="3" width="25.5703125" customWidth="1"/>
    <col min="4" max="4" width="61.28515625" customWidth="1"/>
    <col min="6" max="6" width="11.42578125" style="32"/>
  </cols>
  <sheetData>
    <row r="1" spans="1:19" x14ac:dyDescent="0.25">
      <c r="A1" t="s">
        <v>41</v>
      </c>
      <c r="B1" s="1" t="s">
        <v>42</v>
      </c>
      <c r="C1" s="1" t="s">
        <v>20</v>
      </c>
      <c r="D1" s="1" t="s">
        <v>43</v>
      </c>
      <c r="E1" s="7" t="s">
        <v>22</v>
      </c>
      <c r="F1" s="34" t="s">
        <v>26</v>
      </c>
      <c r="G1" s="7" t="s">
        <v>23</v>
      </c>
      <c r="H1" s="7" t="s">
        <v>27</v>
      </c>
      <c r="I1" s="7" t="s">
        <v>29</v>
      </c>
      <c r="J1" s="7" t="s">
        <v>30</v>
      </c>
      <c r="K1" s="7" t="s">
        <v>33</v>
      </c>
      <c r="L1" s="7" t="s">
        <v>31</v>
      </c>
      <c r="M1" s="7" t="s">
        <v>32</v>
      </c>
      <c r="N1" s="7" t="s">
        <v>25</v>
      </c>
      <c r="O1" s="7" t="s">
        <v>28</v>
      </c>
      <c r="P1" s="7" t="s">
        <v>21</v>
      </c>
      <c r="Q1" s="7" t="s">
        <v>24</v>
      </c>
      <c r="R1" s="1" t="s">
        <v>44</v>
      </c>
      <c r="S1" s="1" t="s">
        <v>40</v>
      </c>
    </row>
    <row r="2" spans="1:19" x14ac:dyDescent="0.25">
      <c r="A2" s="29">
        <v>46030</v>
      </c>
      <c r="B2" t="s">
        <v>45</v>
      </c>
      <c r="C2" t="s">
        <v>38</v>
      </c>
      <c r="D2" t="s">
        <v>46</v>
      </c>
      <c r="E2" s="31"/>
      <c r="F2" s="31">
        <v>778.55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0"/>
      <c r="R2" t="s">
        <v>47</v>
      </c>
    </row>
    <row r="3" spans="1:19" x14ac:dyDescent="0.25">
      <c r="A3" s="29">
        <v>46064</v>
      </c>
      <c r="B3" t="s">
        <v>48</v>
      </c>
      <c r="C3" t="s">
        <v>38</v>
      </c>
      <c r="D3" t="s">
        <v>49</v>
      </c>
      <c r="E3" s="31"/>
      <c r="F3" s="31">
        <v>275.74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0"/>
      <c r="R3" t="s">
        <v>47</v>
      </c>
    </row>
    <row r="4" spans="1:19" x14ac:dyDescent="0.25">
      <c r="A4" s="29">
        <v>46064</v>
      </c>
      <c r="B4" t="s">
        <v>50</v>
      </c>
      <c r="C4" t="s">
        <v>34</v>
      </c>
      <c r="D4" t="s">
        <v>51</v>
      </c>
      <c r="E4" s="31"/>
      <c r="F4" s="31">
        <v>53.39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0"/>
      <c r="R4" t="s">
        <v>47</v>
      </c>
    </row>
    <row r="5" spans="1:19" x14ac:dyDescent="0.25">
      <c r="A5" s="29">
        <v>46064</v>
      </c>
      <c r="B5" t="s">
        <v>52</v>
      </c>
      <c r="C5" t="s">
        <v>34</v>
      </c>
      <c r="D5" t="s">
        <v>53</v>
      </c>
      <c r="E5" s="31"/>
      <c r="F5" s="31">
        <v>268.83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0"/>
      <c r="R5" t="s">
        <v>47</v>
      </c>
    </row>
    <row r="6" spans="1:19" x14ac:dyDescent="0.25">
      <c r="A6" s="29">
        <v>46064</v>
      </c>
      <c r="B6" t="s">
        <v>54</v>
      </c>
      <c r="C6" t="s">
        <v>34</v>
      </c>
      <c r="D6" t="s">
        <v>55</v>
      </c>
      <c r="E6" s="31"/>
      <c r="F6" s="31">
        <v>682.67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0"/>
      <c r="R6" t="s">
        <v>47</v>
      </c>
    </row>
    <row r="7" spans="1:19" x14ac:dyDescent="0.25">
      <c r="A7" s="29">
        <v>46064</v>
      </c>
      <c r="B7" t="s">
        <v>56</v>
      </c>
      <c r="C7" t="s">
        <v>39</v>
      </c>
      <c r="D7" t="s">
        <v>57</v>
      </c>
      <c r="E7" s="31"/>
      <c r="F7" s="31">
        <v>30.36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0"/>
      <c r="R7" t="s">
        <v>47</v>
      </c>
    </row>
    <row r="8" spans="1:19" x14ac:dyDescent="0.25">
      <c r="A8" s="29">
        <v>46086</v>
      </c>
      <c r="B8" t="s">
        <v>58</v>
      </c>
      <c r="C8" t="s">
        <v>34</v>
      </c>
      <c r="D8" t="s">
        <v>11</v>
      </c>
      <c r="E8" s="31"/>
      <c r="F8" s="31">
        <v>103.05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0"/>
      <c r="R8" t="s">
        <v>47</v>
      </c>
    </row>
    <row r="9" spans="1:19" x14ac:dyDescent="0.25">
      <c r="A9" s="29">
        <v>46086</v>
      </c>
      <c r="B9" t="s">
        <v>59</v>
      </c>
      <c r="C9" t="s">
        <v>34</v>
      </c>
      <c r="D9" t="s">
        <v>60</v>
      </c>
      <c r="E9" s="31"/>
      <c r="F9" s="31">
        <v>165.17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0"/>
      <c r="R9" t="s">
        <v>47</v>
      </c>
    </row>
    <row r="10" spans="1:19" x14ac:dyDescent="0.25">
      <c r="A10" s="29">
        <v>46086</v>
      </c>
      <c r="B10" t="s">
        <v>61</v>
      </c>
      <c r="C10" t="s">
        <v>38</v>
      </c>
      <c r="D10" t="s">
        <v>62</v>
      </c>
      <c r="E10" s="31"/>
      <c r="F10" s="31">
        <v>946.75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0"/>
      <c r="R10" t="s">
        <v>47</v>
      </c>
    </row>
    <row r="11" spans="1:19" x14ac:dyDescent="0.25">
      <c r="A11" s="29">
        <v>46125</v>
      </c>
      <c r="B11" t="s">
        <v>63</v>
      </c>
      <c r="C11" t="s">
        <v>34</v>
      </c>
      <c r="D11" t="s">
        <v>64</v>
      </c>
      <c r="E11" s="31"/>
      <c r="F11" s="31">
        <v>632.69000000000005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0"/>
      <c r="R11" t="s">
        <v>47</v>
      </c>
    </row>
    <row r="12" spans="1:19" x14ac:dyDescent="0.25">
      <c r="A12" s="29">
        <v>46125</v>
      </c>
      <c r="B12" t="s">
        <v>65</v>
      </c>
      <c r="C12" t="s">
        <v>38</v>
      </c>
      <c r="D12" t="s">
        <v>64</v>
      </c>
      <c r="E12" s="31"/>
      <c r="F12" s="31">
        <v>1280.3399999999999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0"/>
      <c r="R12" t="s">
        <v>47</v>
      </c>
    </row>
    <row r="13" spans="1:19" x14ac:dyDescent="0.25">
      <c r="A13" s="29">
        <v>46050</v>
      </c>
      <c r="B13" t="s">
        <v>66</v>
      </c>
      <c r="C13" t="s">
        <v>35</v>
      </c>
      <c r="D13" t="s">
        <v>67</v>
      </c>
      <c r="E13" s="31"/>
      <c r="F13" s="31"/>
      <c r="G13" s="31"/>
      <c r="H13" s="31"/>
      <c r="I13" s="31"/>
      <c r="J13" s="31"/>
      <c r="K13" s="31"/>
      <c r="L13" s="31">
        <v>69.02</v>
      </c>
      <c r="M13" s="31"/>
      <c r="N13" s="31"/>
      <c r="O13" s="31"/>
      <c r="P13" s="31"/>
      <c r="Q13" s="30"/>
      <c r="R13" t="s">
        <v>68</v>
      </c>
    </row>
    <row r="14" spans="1:19" x14ac:dyDescent="0.25">
      <c r="A14" s="29">
        <v>46050</v>
      </c>
      <c r="B14" t="s">
        <v>69</v>
      </c>
      <c r="C14" t="s">
        <v>35</v>
      </c>
      <c r="D14" t="s">
        <v>70</v>
      </c>
      <c r="E14" s="31"/>
      <c r="F14" s="31"/>
      <c r="G14" s="31"/>
      <c r="H14" s="31"/>
      <c r="I14" s="31">
        <v>69.02</v>
      </c>
      <c r="J14" s="31"/>
      <c r="K14" s="31"/>
      <c r="L14" s="31"/>
      <c r="M14" s="31"/>
      <c r="N14" s="31"/>
      <c r="O14" s="31"/>
      <c r="P14" s="31"/>
      <c r="Q14" s="30"/>
      <c r="R14" t="s">
        <v>68</v>
      </c>
    </row>
    <row r="15" spans="1:19" x14ac:dyDescent="0.25">
      <c r="A15" s="29">
        <v>46050</v>
      </c>
      <c r="B15" t="s">
        <v>71</v>
      </c>
      <c r="C15" t="s">
        <v>39</v>
      </c>
      <c r="D15" t="s">
        <v>72</v>
      </c>
      <c r="E15" s="31"/>
      <c r="F15" s="31"/>
      <c r="G15" s="31"/>
      <c r="H15" s="31"/>
      <c r="I15" s="31"/>
      <c r="J15" s="31"/>
      <c r="K15" s="31"/>
      <c r="L15" s="31"/>
      <c r="M15" s="31"/>
      <c r="N15" s="31">
        <v>66.489999999999995</v>
      </c>
      <c r="O15" s="31"/>
      <c r="P15" s="31"/>
      <c r="Q15" s="30"/>
      <c r="R15" t="s">
        <v>68</v>
      </c>
    </row>
    <row r="16" spans="1:19" x14ac:dyDescent="0.25">
      <c r="A16" s="29">
        <v>46050</v>
      </c>
      <c r="B16" t="s">
        <v>73</v>
      </c>
      <c r="C16" t="s">
        <v>39</v>
      </c>
      <c r="D16" t="s">
        <v>74</v>
      </c>
      <c r="E16" s="31"/>
      <c r="F16" s="31"/>
      <c r="G16" s="31"/>
      <c r="H16" s="31"/>
      <c r="I16" s="31"/>
      <c r="J16" s="31"/>
      <c r="K16" s="31"/>
      <c r="L16" s="31"/>
      <c r="M16" s="31">
        <v>66.489999999999995</v>
      </c>
      <c r="N16" s="31"/>
      <c r="O16" s="31"/>
      <c r="P16" s="31"/>
      <c r="Q16" s="30"/>
      <c r="R16" t="s">
        <v>68</v>
      </c>
    </row>
    <row r="17" spans="1:18" x14ac:dyDescent="0.25">
      <c r="A17" s="29">
        <v>46050</v>
      </c>
      <c r="B17" t="s">
        <v>75</v>
      </c>
      <c r="C17" t="s">
        <v>39</v>
      </c>
      <c r="D17" t="s">
        <v>76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>
        <v>66.489999999999995</v>
      </c>
      <c r="P17" s="31"/>
      <c r="Q17" s="30"/>
      <c r="R17" t="s">
        <v>68</v>
      </c>
    </row>
    <row r="18" spans="1:18" x14ac:dyDescent="0.25">
      <c r="A18" s="29">
        <v>46050</v>
      </c>
      <c r="B18" t="s">
        <v>77</v>
      </c>
      <c r="C18" t="s">
        <v>39</v>
      </c>
      <c r="D18" t="s">
        <v>78</v>
      </c>
      <c r="E18" s="31"/>
      <c r="F18" s="31"/>
      <c r="G18" s="31"/>
      <c r="H18" s="31"/>
      <c r="I18" s="31">
        <v>35.82</v>
      </c>
      <c r="J18" s="31"/>
      <c r="K18" s="31"/>
      <c r="L18" s="31"/>
      <c r="M18" s="31"/>
      <c r="N18" s="31"/>
      <c r="O18" s="31"/>
      <c r="P18" s="31"/>
      <c r="Q18" s="30"/>
      <c r="R18" t="s">
        <v>68</v>
      </c>
    </row>
    <row r="19" spans="1:18" x14ac:dyDescent="0.25">
      <c r="A19" s="29">
        <v>46050</v>
      </c>
      <c r="B19" t="s">
        <v>79</v>
      </c>
      <c r="C19" t="s">
        <v>39</v>
      </c>
      <c r="D19" t="s">
        <v>80</v>
      </c>
      <c r="E19" s="31"/>
      <c r="F19" s="31"/>
      <c r="G19" s="31"/>
      <c r="H19" s="31"/>
      <c r="I19" s="31"/>
      <c r="J19" s="31"/>
      <c r="K19" s="31"/>
      <c r="L19" s="31">
        <v>36.700000000000003</v>
      </c>
      <c r="M19" s="31"/>
      <c r="N19" s="31"/>
      <c r="O19" s="31"/>
      <c r="P19" s="31"/>
      <c r="Q19" s="30"/>
      <c r="R19" t="s">
        <v>68</v>
      </c>
    </row>
    <row r="20" spans="1:18" x14ac:dyDescent="0.25">
      <c r="A20" s="29">
        <v>46050</v>
      </c>
      <c r="B20" t="s">
        <v>81</v>
      </c>
      <c r="C20" t="s">
        <v>39</v>
      </c>
      <c r="D20" t="s">
        <v>82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>
        <v>63.55</v>
      </c>
      <c r="Q20" s="30"/>
      <c r="R20" t="s">
        <v>68</v>
      </c>
    </row>
    <row r="21" spans="1:18" x14ac:dyDescent="0.25">
      <c r="A21" s="29">
        <v>46050</v>
      </c>
      <c r="B21" t="s">
        <v>83</v>
      </c>
      <c r="C21" t="s">
        <v>35</v>
      </c>
      <c r="D21" t="s">
        <v>84</v>
      </c>
      <c r="E21" s="31"/>
      <c r="F21" s="31"/>
      <c r="G21" s="31"/>
      <c r="H21" s="31"/>
      <c r="I21" s="31">
        <v>469.57</v>
      </c>
      <c r="J21" s="31"/>
      <c r="K21" s="31"/>
      <c r="L21" s="31"/>
      <c r="M21" s="31"/>
      <c r="N21" s="31"/>
      <c r="O21" s="31"/>
      <c r="P21" s="31"/>
      <c r="Q21" s="30"/>
      <c r="R21" t="s">
        <v>68</v>
      </c>
    </row>
    <row r="22" spans="1:18" x14ac:dyDescent="0.25">
      <c r="A22" s="29">
        <v>46050</v>
      </c>
      <c r="B22" t="s">
        <v>85</v>
      </c>
      <c r="C22" t="s">
        <v>35</v>
      </c>
      <c r="D22" t="s">
        <v>86</v>
      </c>
      <c r="E22" s="31"/>
      <c r="F22" s="31"/>
      <c r="G22" s="31"/>
      <c r="H22" s="31"/>
      <c r="I22" s="31"/>
      <c r="J22" s="31"/>
      <c r="K22" s="31"/>
      <c r="L22" s="31">
        <v>483.54</v>
      </c>
      <c r="M22" s="31"/>
      <c r="N22" s="31"/>
      <c r="O22" s="31"/>
      <c r="P22" s="31"/>
      <c r="Q22" s="30"/>
      <c r="R22" t="s">
        <v>68</v>
      </c>
    </row>
    <row r="23" spans="1:18" x14ac:dyDescent="0.25">
      <c r="A23" s="29">
        <v>46050</v>
      </c>
      <c r="B23" t="s">
        <v>87</v>
      </c>
      <c r="C23" t="s">
        <v>34</v>
      </c>
      <c r="D23" t="s">
        <v>88</v>
      </c>
      <c r="E23" s="31"/>
      <c r="F23" s="31"/>
      <c r="G23" s="31"/>
      <c r="H23" s="31"/>
      <c r="I23" s="31">
        <v>430.24</v>
      </c>
      <c r="J23" s="31"/>
      <c r="K23" s="31"/>
      <c r="L23" s="31"/>
      <c r="M23" s="31"/>
      <c r="N23" s="31"/>
      <c r="O23" s="31"/>
      <c r="P23" s="31"/>
      <c r="Q23" s="30"/>
      <c r="R23" t="s">
        <v>68</v>
      </c>
    </row>
    <row r="24" spans="1:18" x14ac:dyDescent="0.25">
      <c r="A24" s="29">
        <v>46050</v>
      </c>
      <c r="B24" t="s">
        <v>89</v>
      </c>
      <c r="C24" t="s">
        <v>35</v>
      </c>
      <c r="D24" t="s">
        <v>90</v>
      </c>
      <c r="E24" s="31"/>
      <c r="F24" s="31"/>
      <c r="G24" s="31"/>
      <c r="H24" s="31"/>
      <c r="I24" s="31">
        <v>517.28</v>
      </c>
      <c r="J24" s="31"/>
      <c r="K24" s="31"/>
      <c r="L24" s="31"/>
      <c r="M24" s="31"/>
      <c r="N24" s="31"/>
      <c r="O24" s="31"/>
      <c r="P24" s="31"/>
      <c r="Q24" s="30"/>
      <c r="R24" t="s">
        <v>68</v>
      </c>
    </row>
    <row r="25" spans="1:18" x14ac:dyDescent="0.25">
      <c r="A25" s="29">
        <v>46050</v>
      </c>
      <c r="B25" t="s">
        <v>91</v>
      </c>
      <c r="C25" t="s">
        <v>35</v>
      </c>
      <c r="D25" t="s">
        <v>92</v>
      </c>
      <c r="E25" s="31"/>
      <c r="F25" s="31"/>
      <c r="G25" s="31"/>
      <c r="H25" s="31"/>
      <c r="I25" s="31"/>
      <c r="J25" s="31"/>
      <c r="K25" s="31"/>
      <c r="L25" s="31">
        <v>517.03</v>
      </c>
      <c r="M25" s="31"/>
      <c r="N25" s="31"/>
      <c r="O25" s="31"/>
      <c r="P25" s="31"/>
      <c r="Q25" s="30"/>
      <c r="R25" t="s">
        <v>68</v>
      </c>
    </row>
    <row r="26" spans="1:18" x14ac:dyDescent="0.25">
      <c r="A26" s="29">
        <v>46052</v>
      </c>
      <c r="B26" t="s">
        <v>93</v>
      </c>
      <c r="C26" t="s">
        <v>35</v>
      </c>
      <c r="D26" t="s">
        <v>94</v>
      </c>
      <c r="E26" s="31"/>
      <c r="F26" s="31"/>
      <c r="G26" s="31"/>
      <c r="H26" s="31"/>
      <c r="I26" s="31">
        <v>34.51</v>
      </c>
      <c r="J26" s="31"/>
      <c r="K26" s="31"/>
      <c r="L26" s="31"/>
      <c r="M26" s="31"/>
      <c r="N26" s="31"/>
      <c r="O26" s="31"/>
      <c r="P26" s="31"/>
      <c r="Q26" s="30"/>
      <c r="R26" t="s">
        <v>68</v>
      </c>
    </row>
    <row r="27" spans="1:18" x14ac:dyDescent="0.25">
      <c r="A27" s="29">
        <v>46052</v>
      </c>
      <c r="B27" t="s">
        <v>95</v>
      </c>
      <c r="C27" t="s">
        <v>39</v>
      </c>
      <c r="D27" t="s">
        <v>96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>
        <v>1985.63</v>
      </c>
      <c r="Q27" s="30"/>
      <c r="R27" t="s">
        <v>68</v>
      </c>
    </row>
    <row r="28" spans="1:18" x14ac:dyDescent="0.25">
      <c r="A28" s="29">
        <v>46052</v>
      </c>
      <c r="B28" t="s">
        <v>97</v>
      </c>
      <c r="C28" t="s">
        <v>39</v>
      </c>
      <c r="D28" t="s">
        <v>98</v>
      </c>
      <c r="E28" s="31"/>
      <c r="F28" s="31"/>
      <c r="G28" s="31"/>
      <c r="H28" s="31"/>
      <c r="I28" s="31"/>
      <c r="J28" s="31"/>
      <c r="K28" s="31"/>
      <c r="L28" s="31"/>
      <c r="M28" s="31"/>
      <c r="N28" s="31">
        <v>2055.87</v>
      </c>
      <c r="O28" s="31"/>
      <c r="P28" s="31"/>
      <c r="Q28" s="30"/>
      <c r="R28" t="s">
        <v>68</v>
      </c>
    </row>
    <row r="29" spans="1:18" x14ac:dyDescent="0.25">
      <c r="A29" s="29">
        <v>46052</v>
      </c>
      <c r="B29" t="s">
        <v>99</v>
      </c>
      <c r="C29" t="s">
        <v>39</v>
      </c>
      <c r="D29" t="s">
        <v>100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>
        <v>2082.79</v>
      </c>
      <c r="P29" s="31"/>
      <c r="Q29" s="30"/>
      <c r="R29" t="s">
        <v>68</v>
      </c>
    </row>
    <row r="30" spans="1:18" x14ac:dyDescent="0.25">
      <c r="A30" s="29">
        <v>46052</v>
      </c>
      <c r="B30" t="s">
        <v>101</v>
      </c>
      <c r="C30" t="s">
        <v>39</v>
      </c>
      <c r="D30" t="s">
        <v>102</v>
      </c>
      <c r="E30" s="31"/>
      <c r="F30" s="31"/>
      <c r="G30" s="31"/>
      <c r="H30" s="31"/>
      <c r="I30" s="31"/>
      <c r="J30" s="31"/>
      <c r="K30" s="31"/>
      <c r="L30" s="31"/>
      <c r="M30" s="31">
        <v>1851.13</v>
      </c>
      <c r="N30" s="31"/>
      <c r="O30" s="31"/>
      <c r="P30" s="31"/>
      <c r="Q30" s="30"/>
      <c r="R30" t="s">
        <v>68</v>
      </c>
    </row>
    <row r="31" spans="1:18" x14ac:dyDescent="0.25">
      <c r="A31" s="29">
        <v>46052</v>
      </c>
      <c r="B31" t="s">
        <v>103</v>
      </c>
      <c r="C31" t="s">
        <v>38</v>
      </c>
      <c r="D31" t="s">
        <v>104</v>
      </c>
      <c r="E31" s="31"/>
      <c r="F31" s="31"/>
      <c r="G31" s="31"/>
      <c r="H31" s="31"/>
      <c r="I31" s="31">
        <v>69.02</v>
      </c>
      <c r="J31" s="31"/>
      <c r="K31" s="31"/>
      <c r="L31" s="31"/>
      <c r="M31" s="31"/>
      <c r="N31" s="31"/>
      <c r="O31" s="31"/>
      <c r="P31" s="31"/>
      <c r="Q31" s="30"/>
      <c r="R31" t="s">
        <v>68</v>
      </c>
    </row>
    <row r="32" spans="1:18" x14ac:dyDescent="0.25">
      <c r="A32" s="29">
        <v>46073</v>
      </c>
      <c r="B32" t="s">
        <v>105</v>
      </c>
      <c r="C32" t="s">
        <v>39</v>
      </c>
      <c r="D32" t="s">
        <v>106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>
        <v>295.69</v>
      </c>
      <c r="P32" s="31"/>
      <c r="Q32" s="30"/>
      <c r="R32" t="s">
        <v>68</v>
      </c>
    </row>
    <row r="33" spans="1:18" x14ac:dyDescent="0.25">
      <c r="A33" s="29">
        <v>46073</v>
      </c>
      <c r="B33" t="s">
        <v>107</v>
      </c>
      <c r="C33" t="s">
        <v>39</v>
      </c>
      <c r="D33" t="s">
        <v>108</v>
      </c>
      <c r="E33" s="31"/>
      <c r="F33" s="31"/>
      <c r="G33" s="31"/>
      <c r="H33" s="31"/>
      <c r="I33" s="31"/>
      <c r="J33" s="31"/>
      <c r="K33" s="31"/>
      <c r="L33" s="31"/>
      <c r="M33" s="31">
        <v>295.44</v>
      </c>
      <c r="N33" s="31"/>
      <c r="O33" s="31"/>
      <c r="P33" s="31"/>
      <c r="Q33" s="30"/>
      <c r="R33" t="s">
        <v>68</v>
      </c>
    </row>
    <row r="34" spans="1:18" x14ac:dyDescent="0.25">
      <c r="A34" s="29">
        <v>46073</v>
      </c>
      <c r="B34" t="s">
        <v>109</v>
      </c>
      <c r="C34" t="s">
        <v>39</v>
      </c>
      <c r="D34" t="s">
        <v>110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>
        <v>281.67</v>
      </c>
      <c r="Q34" s="30"/>
      <c r="R34" t="s">
        <v>68</v>
      </c>
    </row>
    <row r="35" spans="1:18" x14ac:dyDescent="0.25">
      <c r="A35" s="29">
        <v>46073</v>
      </c>
      <c r="B35" t="s">
        <v>111</v>
      </c>
      <c r="C35" t="s">
        <v>39</v>
      </c>
      <c r="D35" t="s">
        <v>112</v>
      </c>
      <c r="E35" s="31"/>
      <c r="F35" s="31"/>
      <c r="G35" s="31"/>
      <c r="H35" s="31"/>
      <c r="I35" s="31"/>
      <c r="J35" s="31"/>
      <c r="K35" s="31"/>
      <c r="L35" s="31"/>
      <c r="M35" s="31"/>
      <c r="N35" s="31">
        <v>295.44</v>
      </c>
      <c r="O35" s="31"/>
      <c r="P35" s="31"/>
      <c r="Q35" s="30"/>
      <c r="R35" t="s">
        <v>68</v>
      </c>
    </row>
    <row r="36" spans="1:18" x14ac:dyDescent="0.25">
      <c r="A36" s="29">
        <v>46073</v>
      </c>
      <c r="B36" t="s">
        <v>113</v>
      </c>
      <c r="C36" t="s">
        <v>34</v>
      </c>
      <c r="D36" t="s">
        <v>114</v>
      </c>
      <c r="E36" s="31"/>
      <c r="F36" s="31"/>
      <c r="G36" s="31"/>
      <c r="H36" s="31"/>
      <c r="I36" s="31">
        <v>367.78</v>
      </c>
      <c r="J36" s="31"/>
      <c r="K36" s="31"/>
      <c r="L36" s="31"/>
      <c r="M36" s="31"/>
      <c r="N36" s="31"/>
      <c r="O36" s="31"/>
      <c r="P36" s="31"/>
      <c r="Q36" s="30"/>
      <c r="R36" t="s">
        <v>68</v>
      </c>
    </row>
    <row r="37" spans="1:18" x14ac:dyDescent="0.25">
      <c r="A37" s="29">
        <v>46073</v>
      </c>
      <c r="B37" t="s">
        <v>115</v>
      </c>
      <c r="C37" t="s">
        <v>34</v>
      </c>
      <c r="D37" t="s">
        <v>116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>
        <v>152.80000000000001</v>
      </c>
      <c r="Q37" s="30"/>
      <c r="R37" t="s">
        <v>68</v>
      </c>
    </row>
    <row r="38" spans="1:18" x14ac:dyDescent="0.25">
      <c r="A38" s="29">
        <v>46073</v>
      </c>
      <c r="B38" t="s">
        <v>117</v>
      </c>
      <c r="C38" t="s">
        <v>34</v>
      </c>
      <c r="D38" t="s">
        <v>118</v>
      </c>
      <c r="E38" s="31"/>
      <c r="F38" s="31"/>
      <c r="G38" s="31"/>
      <c r="H38" s="31"/>
      <c r="I38" s="31">
        <v>125.28</v>
      </c>
      <c r="J38" s="31"/>
      <c r="K38" s="31"/>
      <c r="L38" s="31"/>
      <c r="M38" s="31"/>
      <c r="N38" s="31"/>
      <c r="O38" s="31"/>
      <c r="P38" s="31"/>
      <c r="Q38" s="30"/>
      <c r="R38" t="s">
        <v>68</v>
      </c>
    </row>
    <row r="39" spans="1:18" x14ac:dyDescent="0.25">
      <c r="A39" s="29">
        <v>46073</v>
      </c>
      <c r="B39" t="s">
        <v>119</v>
      </c>
      <c r="C39" t="s">
        <v>34</v>
      </c>
      <c r="D39" t="s">
        <v>120</v>
      </c>
      <c r="E39" s="31"/>
      <c r="F39" s="31"/>
      <c r="G39" s="31"/>
      <c r="H39" s="31"/>
      <c r="I39" s="31"/>
      <c r="J39" s="31"/>
      <c r="K39" s="31"/>
      <c r="L39" s="31"/>
      <c r="M39" s="31"/>
      <c r="N39" s="31">
        <v>159.54</v>
      </c>
      <c r="O39" s="31"/>
      <c r="P39" s="31"/>
      <c r="Q39" s="30"/>
      <c r="R39" t="s">
        <v>68</v>
      </c>
    </row>
    <row r="40" spans="1:18" x14ac:dyDescent="0.25">
      <c r="A40" s="29">
        <v>46073</v>
      </c>
      <c r="B40" t="s">
        <v>121</v>
      </c>
      <c r="C40" t="s">
        <v>34</v>
      </c>
      <c r="D40" t="s">
        <v>122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>
        <v>159.96</v>
      </c>
      <c r="P40" s="31"/>
      <c r="Q40" s="30"/>
      <c r="R40" t="s">
        <v>68</v>
      </c>
    </row>
    <row r="41" spans="1:18" x14ac:dyDescent="0.25">
      <c r="A41" s="29">
        <v>46073</v>
      </c>
      <c r="B41" t="s">
        <v>123</v>
      </c>
      <c r="C41" t="s">
        <v>34</v>
      </c>
      <c r="D41" t="s">
        <v>124</v>
      </c>
      <c r="E41" s="31"/>
      <c r="F41" s="31"/>
      <c r="G41" s="31"/>
      <c r="H41" s="31"/>
      <c r="I41" s="31"/>
      <c r="J41" s="31"/>
      <c r="K41" s="31"/>
      <c r="L41" s="31">
        <v>159.96</v>
      </c>
      <c r="M41" s="31"/>
      <c r="N41" s="31"/>
      <c r="O41" s="31"/>
      <c r="P41" s="31"/>
      <c r="Q41" s="30"/>
      <c r="R41" t="s">
        <v>68</v>
      </c>
    </row>
    <row r="42" spans="1:18" x14ac:dyDescent="0.25">
      <c r="A42" s="29">
        <v>46073</v>
      </c>
      <c r="B42" t="s">
        <v>125</v>
      </c>
      <c r="C42" t="s">
        <v>35</v>
      </c>
      <c r="D42" t="s">
        <v>126</v>
      </c>
      <c r="E42" s="31"/>
      <c r="F42" s="31"/>
      <c r="G42" s="31"/>
      <c r="H42" s="31"/>
      <c r="I42" s="31"/>
      <c r="J42" s="31"/>
      <c r="K42" s="31"/>
      <c r="L42" s="31">
        <v>69.02</v>
      </c>
      <c r="M42" s="31"/>
      <c r="N42" s="31"/>
      <c r="O42" s="31"/>
      <c r="P42" s="31"/>
      <c r="Q42" s="30"/>
      <c r="R42" t="s">
        <v>68</v>
      </c>
    </row>
    <row r="43" spans="1:18" x14ac:dyDescent="0.25">
      <c r="A43" s="29">
        <v>46073</v>
      </c>
      <c r="B43" t="s">
        <v>127</v>
      </c>
      <c r="C43" t="s">
        <v>35</v>
      </c>
      <c r="D43" t="s">
        <v>128</v>
      </c>
      <c r="E43" s="31"/>
      <c r="F43" s="31"/>
      <c r="G43" s="31"/>
      <c r="H43" s="31"/>
      <c r="I43" s="31">
        <v>69.02</v>
      </c>
      <c r="J43" s="31"/>
      <c r="K43" s="31"/>
      <c r="L43" s="31">
        <v>485.75</v>
      </c>
      <c r="M43" s="31"/>
      <c r="N43" s="31"/>
      <c r="O43" s="31"/>
      <c r="P43" s="31"/>
      <c r="Q43" s="30"/>
      <c r="R43" t="s">
        <v>68</v>
      </c>
    </row>
    <row r="44" spans="1:18" x14ac:dyDescent="0.25">
      <c r="A44" s="29">
        <v>46073</v>
      </c>
      <c r="B44" t="s">
        <v>129</v>
      </c>
      <c r="C44" t="s">
        <v>35</v>
      </c>
      <c r="D44" t="s">
        <v>130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t="s">
        <v>68</v>
      </c>
    </row>
    <row r="45" spans="1:18" x14ac:dyDescent="0.25">
      <c r="A45" s="29">
        <v>46073</v>
      </c>
      <c r="B45" t="s">
        <v>131</v>
      </c>
      <c r="C45" t="s">
        <v>35</v>
      </c>
      <c r="D45" t="s">
        <v>132</v>
      </c>
      <c r="E45" s="31"/>
      <c r="F45" s="31"/>
      <c r="G45" s="31"/>
      <c r="H45" s="31"/>
      <c r="I45" s="31">
        <v>471.78</v>
      </c>
      <c r="J45" s="31"/>
      <c r="K45" s="31"/>
      <c r="L45" s="31"/>
      <c r="M45" s="31"/>
      <c r="N45" s="31"/>
      <c r="O45" s="31"/>
      <c r="P45" s="31"/>
      <c r="Q45" s="30"/>
      <c r="R45" t="s">
        <v>68</v>
      </c>
    </row>
    <row r="46" spans="1:18" x14ac:dyDescent="0.25">
      <c r="A46" s="29">
        <v>46073</v>
      </c>
      <c r="B46" t="s">
        <v>133</v>
      </c>
      <c r="C46" t="s">
        <v>35</v>
      </c>
      <c r="D46" t="s">
        <v>134</v>
      </c>
      <c r="E46" s="31"/>
      <c r="F46" s="31"/>
      <c r="G46" s="31"/>
      <c r="H46" s="31"/>
      <c r="I46" s="31"/>
      <c r="J46" s="31"/>
      <c r="K46" s="31"/>
      <c r="L46" s="31">
        <v>71.59</v>
      </c>
      <c r="M46" s="31"/>
      <c r="N46" s="31"/>
      <c r="O46" s="31"/>
      <c r="P46" s="31"/>
      <c r="Q46" s="30"/>
      <c r="R46" t="s">
        <v>68</v>
      </c>
    </row>
    <row r="47" spans="1:18" x14ac:dyDescent="0.25">
      <c r="A47" s="29">
        <v>46073</v>
      </c>
      <c r="B47" t="s">
        <v>135</v>
      </c>
      <c r="C47" t="s">
        <v>35</v>
      </c>
      <c r="D47" t="s">
        <v>136</v>
      </c>
      <c r="E47" s="31"/>
      <c r="F47" s="31"/>
      <c r="G47" s="31"/>
      <c r="H47" s="31"/>
      <c r="I47" s="31">
        <v>71.59</v>
      </c>
      <c r="J47" s="31"/>
      <c r="K47" s="31"/>
      <c r="L47" s="31"/>
      <c r="M47" s="31"/>
      <c r="N47" s="31"/>
      <c r="O47" s="31"/>
      <c r="P47" s="31"/>
      <c r="Q47" s="30"/>
      <c r="R47" t="s">
        <v>68</v>
      </c>
    </row>
    <row r="48" spans="1:18" x14ac:dyDescent="0.25">
      <c r="A48" s="29">
        <v>46073</v>
      </c>
      <c r="B48" t="s">
        <v>137</v>
      </c>
      <c r="C48" t="s">
        <v>36</v>
      </c>
      <c r="D48" t="s">
        <v>138</v>
      </c>
      <c r="E48" s="31"/>
      <c r="F48" s="31"/>
      <c r="G48" s="31"/>
      <c r="H48" s="31"/>
      <c r="I48" s="31">
        <v>34.51</v>
      </c>
      <c r="J48" s="31"/>
      <c r="K48" s="31"/>
      <c r="L48" s="31"/>
      <c r="M48" s="31"/>
      <c r="N48" s="31"/>
      <c r="O48" s="31"/>
      <c r="P48" s="31"/>
      <c r="Q48" s="30"/>
      <c r="R48" t="s">
        <v>68</v>
      </c>
    </row>
    <row r="49" spans="1:18" x14ac:dyDescent="0.25">
      <c r="A49" s="29">
        <v>46073</v>
      </c>
      <c r="B49" t="s">
        <v>139</v>
      </c>
      <c r="C49" t="s">
        <v>35</v>
      </c>
      <c r="D49" t="s">
        <v>140</v>
      </c>
      <c r="E49" s="31"/>
      <c r="F49" s="31"/>
      <c r="G49" s="31"/>
      <c r="H49" s="31"/>
      <c r="I49" s="31">
        <v>233.03</v>
      </c>
      <c r="J49" s="31"/>
      <c r="K49" s="31"/>
      <c r="L49" s="31"/>
      <c r="M49" s="31"/>
      <c r="N49" s="31"/>
      <c r="O49" s="31"/>
      <c r="P49" s="31"/>
      <c r="Q49" s="30"/>
      <c r="R49" t="s">
        <v>68</v>
      </c>
    </row>
    <row r="50" spans="1:18" x14ac:dyDescent="0.25">
      <c r="A50" s="29">
        <v>46073</v>
      </c>
      <c r="B50" t="s">
        <v>141</v>
      </c>
      <c r="C50" t="s">
        <v>35</v>
      </c>
      <c r="D50" t="s">
        <v>142</v>
      </c>
      <c r="E50" s="31"/>
      <c r="F50" s="31"/>
      <c r="G50" s="31"/>
      <c r="H50" s="31"/>
      <c r="I50" s="31"/>
      <c r="J50" s="31"/>
      <c r="K50" s="31"/>
      <c r="L50" s="31">
        <v>166.08</v>
      </c>
      <c r="M50" s="31"/>
      <c r="N50" s="31"/>
      <c r="O50" s="31"/>
      <c r="P50" s="31"/>
      <c r="Q50" s="30"/>
      <c r="R50" t="s">
        <v>68</v>
      </c>
    </row>
    <row r="51" spans="1:18" x14ac:dyDescent="0.25">
      <c r="A51" s="29">
        <v>46073</v>
      </c>
      <c r="B51" t="s">
        <v>143</v>
      </c>
      <c r="C51" t="s">
        <v>35</v>
      </c>
      <c r="D51" t="s">
        <v>144</v>
      </c>
      <c r="E51" s="31"/>
      <c r="F51" s="31"/>
      <c r="G51" s="31"/>
      <c r="H51" s="31"/>
      <c r="I51" s="31">
        <v>34.51</v>
      </c>
      <c r="J51" s="31"/>
      <c r="K51" s="31"/>
      <c r="L51" s="31"/>
      <c r="M51" s="31"/>
      <c r="N51" s="31"/>
      <c r="O51" s="31"/>
      <c r="P51" s="31"/>
      <c r="Q51" s="30"/>
      <c r="R51" t="s">
        <v>68</v>
      </c>
    </row>
    <row r="52" spans="1:18" x14ac:dyDescent="0.25">
      <c r="A52" s="29">
        <v>46073</v>
      </c>
      <c r="B52" t="s">
        <v>145</v>
      </c>
      <c r="C52" t="s">
        <v>35</v>
      </c>
      <c r="D52" t="s">
        <v>146</v>
      </c>
      <c r="E52" s="31"/>
      <c r="F52" s="31"/>
      <c r="G52" s="31"/>
      <c r="H52" s="31"/>
      <c r="I52" s="31">
        <v>69.02</v>
      </c>
      <c r="J52" s="31"/>
      <c r="K52" s="31"/>
      <c r="L52" s="31"/>
      <c r="M52" s="31"/>
      <c r="N52" s="31"/>
      <c r="O52" s="31"/>
      <c r="P52" s="31"/>
      <c r="Q52" s="30"/>
      <c r="R52" t="s">
        <v>68</v>
      </c>
    </row>
    <row r="53" spans="1:18" x14ac:dyDescent="0.25">
      <c r="A53" s="29">
        <v>46073</v>
      </c>
      <c r="B53" t="s">
        <v>147</v>
      </c>
      <c r="C53" t="s">
        <v>35</v>
      </c>
      <c r="D53" t="s">
        <v>148</v>
      </c>
      <c r="E53" s="31"/>
      <c r="F53" s="31"/>
      <c r="G53" s="31"/>
      <c r="H53" s="31"/>
      <c r="I53" s="31"/>
      <c r="J53" s="31"/>
      <c r="K53" s="31"/>
      <c r="L53" s="31">
        <v>69.02</v>
      </c>
      <c r="M53" s="31"/>
      <c r="N53" s="31"/>
      <c r="O53" s="31"/>
      <c r="P53" s="31"/>
      <c r="Q53" s="30"/>
      <c r="R53" t="s">
        <v>68</v>
      </c>
    </row>
    <row r="54" spans="1:18" x14ac:dyDescent="0.25">
      <c r="A54" s="29">
        <v>46073</v>
      </c>
      <c r="B54" t="s">
        <v>149</v>
      </c>
      <c r="C54" t="s">
        <v>35</v>
      </c>
      <c r="D54" t="s">
        <v>150</v>
      </c>
      <c r="E54" s="31"/>
      <c r="F54" s="31"/>
      <c r="G54" s="31"/>
      <c r="H54" s="31"/>
      <c r="I54" s="31"/>
      <c r="J54" s="31"/>
      <c r="K54" s="31"/>
      <c r="L54" s="31">
        <v>35.81</v>
      </c>
      <c r="M54" s="31"/>
      <c r="N54" s="31"/>
      <c r="O54" s="31"/>
      <c r="P54" s="31"/>
      <c r="Q54" s="30"/>
      <c r="R54" t="s">
        <v>68</v>
      </c>
    </row>
    <row r="55" spans="1:18" x14ac:dyDescent="0.25">
      <c r="A55" s="29">
        <v>46073</v>
      </c>
      <c r="B55" t="s">
        <v>151</v>
      </c>
      <c r="C55" t="s">
        <v>15</v>
      </c>
      <c r="D55" t="s">
        <v>152</v>
      </c>
      <c r="E55" s="31"/>
      <c r="F55" s="31"/>
      <c r="G55" s="31"/>
      <c r="H55" s="31"/>
      <c r="I55" s="31">
        <v>143.78</v>
      </c>
      <c r="J55" s="31"/>
      <c r="K55" s="31"/>
      <c r="L55" s="31"/>
      <c r="M55" s="31"/>
      <c r="N55" s="31"/>
      <c r="O55" s="31"/>
      <c r="P55" s="31"/>
      <c r="Q55" s="30"/>
      <c r="R55" t="s">
        <v>68</v>
      </c>
    </row>
    <row r="56" spans="1:18" x14ac:dyDescent="0.25">
      <c r="A56" s="29">
        <v>46073</v>
      </c>
      <c r="B56" t="s">
        <v>153</v>
      </c>
      <c r="C56" t="s">
        <v>39</v>
      </c>
      <c r="D56" t="s">
        <v>154</v>
      </c>
      <c r="E56" s="31"/>
      <c r="F56" s="31"/>
      <c r="G56" s="31"/>
      <c r="H56" s="31"/>
      <c r="I56" s="31">
        <v>34.51</v>
      </c>
      <c r="J56" s="31"/>
      <c r="K56" s="31"/>
      <c r="L56" s="31"/>
      <c r="M56" s="31"/>
      <c r="N56" s="31"/>
      <c r="O56" s="31"/>
      <c r="P56" s="31"/>
      <c r="Q56" s="30"/>
      <c r="R56" t="s">
        <v>68</v>
      </c>
    </row>
    <row r="57" spans="1:18" x14ac:dyDescent="0.25">
      <c r="A57" s="29">
        <v>46073</v>
      </c>
      <c r="B57" t="s">
        <v>155</v>
      </c>
      <c r="C57" t="s">
        <v>39</v>
      </c>
      <c r="D57" t="s">
        <v>156</v>
      </c>
      <c r="E57" s="31"/>
      <c r="F57" s="31"/>
      <c r="G57" s="31"/>
      <c r="H57" s="31"/>
      <c r="I57" s="31"/>
      <c r="J57" s="31"/>
      <c r="K57" s="31"/>
      <c r="L57" s="31">
        <v>34.51</v>
      </c>
      <c r="M57" s="31"/>
      <c r="N57" s="31"/>
      <c r="O57" s="31"/>
      <c r="P57" s="31"/>
      <c r="Q57" s="30"/>
      <c r="R57" t="s">
        <v>68</v>
      </c>
    </row>
    <row r="58" spans="1:18" x14ac:dyDescent="0.25">
      <c r="A58" s="29">
        <v>46078</v>
      </c>
      <c r="B58" t="s">
        <v>157</v>
      </c>
      <c r="C58" t="s">
        <v>39</v>
      </c>
      <c r="D58" t="s">
        <v>158</v>
      </c>
      <c r="E58" s="31"/>
      <c r="F58" s="31"/>
      <c r="G58" s="31"/>
      <c r="H58" s="31"/>
      <c r="I58" s="31">
        <v>488.44</v>
      </c>
      <c r="J58" s="31"/>
      <c r="K58" s="31"/>
      <c r="L58" s="31"/>
      <c r="M58" s="31"/>
      <c r="N58" s="31"/>
      <c r="O58" s="31"/>
      <c r="P58" s="31"/>
      <c r="Q58" s="30"/>
      <c r="R58" t="s">
        <v>68</v>
      </c>
    </row>
    <row r="59" spans="1:18" x14ac:dyDescent="0.25">
      <c r="A59" s="29">
        <v>46078</v>
      </c>
      <c r="B59" t="s">
        <v>159</v>
      </c>
      <c r="C59" t="s">
        <v>37</v>
      </c>
      <c r="D59" t="s">
        <v>160</v>
      </c>
      <c r="E59" s="31"/>
      <c r="F59" s="31"/>
      <c r="G59" s="31"/>
      <c r="H59" s="31"/>
      <c r="I59" s="31">
        <v>120.26</v>
      </c>
      <c r="J59" s="31"/>
      <c r="K59" s="31"/>
      <c r="L59" s="31"/>
      <c r="M59" s="31"/>
      <c r="N59" s="31"/>
      <c r="O59" s="31"/>
      <c r="P59" s="31"/>
      <c r="Q59" s="30"/>
      <c r="R59" t="s">
        <v>68</v>
      </c>
    </row>
    <row r="60" spans="1:18" x14ac:dyDescent="0.25">
      <c r="A60" s="29">
        <v>46078</v>
      </c>
      <c r="B60" t="s">
        <v>161</v>
      </c>
      <c r="C60" t="s">
        <v>37</v>
      </c>
      <c r="D60" t="s">
        <v>162</v>
      </c>
      <c r="E60" s="31"/>
      <c r="F60" s="31"/>
      <c r="G60" s="31"/>
      <c r="H60" s="31"/>
      <c r="I60" s="31">
        <v>89.68</v>
      </c>
      <c r="J60" s="31"/>
      <c r="K60" s="31"/>
      <c r="L60" s="31"/>
      <c r="M60" s="31"/>
      <c r="N60" s="31"/>
      <c r="O60" s="31"/>
      <c r="P60" s="31"/>
      <c r="Q60" s="30"/>
      <c r="R60" t="s">
        <v>68</v>
      </c>
    </row>
    <row r="61" spans="1:18" x14ac:dyDescent="0.25">
      <c r="A61" s="29">
        <v>46101</v>
      </c>
      <c r="B61" t="s">
        <v>163</v>
      </c>
      <c r="C61" t="s">
        <v>37</v>
      </c>
      <c r="D61" t="s">
        <v>164</v>
      </c>
      <c r="E61" s="31"/>
      <c r="F61" s="31"/>
      <c r="G61" s="31"/>
      <c r="H61" s="31"/>
      <c r="I61" s="31">
        <v>78.69</v>
      </c>
      <c r="J61" s="31"/>
      <c r="K61" s="31"/>
      <c r="L61" s="31"/>
      <c r="M61" s="31"/>
      <c r="N61" s="31"/>
      <c r="O61" s="31"/>
      <c r="P61" s="31"/>
      <c r="Q61" s="30"/>
      <c r="R61" t="s">
        <v>68</v>
      </c>
    </row>
    <row r="62" spans="1:18" x14ac:dyDescent="0.25">
      <c r="A62" s="29">
        <v>46101</v>
      </c>
      <c r="B62" t="s">
        <v>165</v>
      </c>
      <c r="C62" t="s">
        <v>10</v>
      </c>
      <c r="D62" t="s">
        <v>166</v>
      </c>
      <c r="E62" s="31"/>
      <c r="F62" s="31"/>
      <c r="G62" s="31"/>
      <c r="H62" s="31"/>
      <c r="I62" s="31">
        <v>101.97</v>
      </c>
      <c r="J62" s="31"/>
      <c r="K62" s="31"/>
      <c r="L62" s="31"/>
      <c r="M62" s="31"/>
      <c r="N62" s="31"/>
      <c r="O62" s="31"/>
      <c r="P62" s="31"/>
      <c r="Q62" s="30"/>
      <c r="R62" t="s">
        <v>68</v>
      </c>
    </row>
    <row r="63" spans="1:18" x14ac:dyDescent="0.25">
      <c r="A63" s="29">
        <v>46101</v>
      </c>
      <c r="B63" t="s">
        <v>167</v>
      </c>
      <c r="C63" t="s">
        <v>36</v>
      </c>
      <c r="D63" t="s">
        <v>168</v>
      </c>
      <c r="E63" s="31"/>
      <c r="F63" s="31"/>
      <c r="G63" s="31"/>
      <c r="H63" s="31"/>
      <c r="I63" s="31">
        <v>530.80999999999995</v>
      </c>
      <c r="J63" s="31"/>
      <c r="K63" s="31"/>
      <c r="L63" s="31">
        <v>69.02</v>
      </c>
      <c r="M63" s="31"/>
      <c r="N63" s="31"/>
      <c r="O63" s="31"/>
      <c r="P63" s="31"/>
      <c r="Q63" s="30"/>
      <c r="R63" t="s">
        <v>68</v>
      </c>
    </row>
    <row r="64" spans="1:18" x14ac:dyDescent="0.25">
      <c r="A64" s="29">
        <v>46101</v>
      </c>
      <c r="B64" t="s">
        <v>169</v>
      </c>
      <c r="C64" t="s">
        <v>36</v>
      </c>
      <c r="D64" t="s">
        <v>170</v>
      </c>
      <c r="E64" s="31"/>
      <c r="F64" s="31"/>
      <c r="G64" s="31"/>
      <c r="H64" s="31"/>
      <c r="I64" s="31">
        <v>69.02</v>
      </c>
      <c r="J64" s="31"/>
      <c r="K64" s="31"/>
      <c r="L64" s="31"/>
      <c r="M64" s="31"/>
      <c r="N64" s="31"/>
      <c r="O64" s="31"/>
      <c r="P64" s="31"/>
      <c r="Q64" s="30"/>
      <c r="R64" t="s">
        <v>68</v>
      </c>
    </row>
    <row r="65" spans="1:18" x14ac:dyDescent="0.25">
      <c r="A65" s="29">
        <v>46101</v>
      </c>
      <c r="B65" t="s">
        <v>171</v>
      </c>
      <c r="C65" t="s">
        <v>35</v>
      </c>
      <c r="D65" t="s">
        <v>172</v>
      </c>
      <c r="E65" s="31"/>
      <c r="F65" s="31"/>
      <c r="G65" s="31"/>
      <c r="H65" s="31"/>
      <c r="I65" s="31">
        <v>530.80999999999995</v>
      </c>
      <c r="J65" s="31"/>
      <c r="K65" s="31"/>
      <c r="L65" s="31"/>
      <c r="M65" s="31"/>
      <c r="N65" s="31"/>
      <c r="O65" s="31"/>
      <c r="P65" s="31"/>
      <c r="Q65" s="30"/>
      <c r="R65" t="s">
        <v>68</v>
      </c>
    </row>
    <row r="66" spans="1:18" x14ac:dyDescent="0.25">
      <c r="A66" s="29">
        <v>46101</v>
      </c>
      <c r="B66" t="s">
        <v>173</v>
      </c>
      <c r="C66" t="s">
        <v>35</v>
      </c>
      <c r="D66" t="s">
        <v>174</v>
      </c>
      <c r="E66" s="31"/>
      <c r="F66" s="31"/>
      <c r="G66" s="31"/>
      <c r="H66" s="31"/>
      <c r="I66" s="31"/>
      <c r="J66" s="31"/>
      <c r="K66" s="31"/>
      <c r="L66" s="31">
        <v>556.96</v>
      </c>
      <c r="M66" s="31"/>
      <c r="N66" s="31"/>
      <c r="O66" s="31"/>
      <c r="P66" s="31"/>
      <c r="Q66" s="30"/>
      <c r="R66" t="s">
        <v>68</v>
      </c>
    </row>
    <row r="67" spans="1:18" x14ac:dyDescent="0.25">
      <c r="A67" s="29">
        <v>46101</v>
      </c>
      <c r="B67" t="s">
        <v>175</v>
      </c>
      <c r="C67" t="s">
        <v>35</v>
      </c>
      <c r="D67" t="s">
        <v>176</v>
      </c>
      <c r="E67" s="31"/>
      <c r="F67" s="31"/>
      <c r="G67" s="31"/>
      <c r="H67" s="31"/>
      <c r="I67" s="31"/>
      <c r="J67" s="31"/>
      <c r="K67" s="31"/>
      <c r="L67" s="31">
        <v>539.41999999999996</v>
      </c>
      <c r="M67" s="31"/>
      <c r="N67" s="31"/>
      <c r="O67" s="31"/>
      <c r="P67" s="31"/>
      <c r="Q67" s="30"/>
      <c r="R67" t="s">
        <v>68</v>
      </c>
    </row>
    <row r="68" spans="1:18" x14ac:dyDescent="0.25">
      <c r="A68" s="29">
        <v>46101</v>
      </c>
      <c r="B68" t="s">
        <v>177</v>
      </c>
      <c r="C68" t="s">
        <v>35</v>
      </c>
      <c r="D68" t="s">
        <v>178</v>
      </c>
      <c r="E68" s="31"/>
      <c r="F68" s="31"/>
      <c r="G68" s="31"/>
      <c r="H68" s="31"/>
      <c r="I68" s="31">
        <v>538.39</v>
      </c>
      <c r="J68" s="31"/>
      <c r="K68" s="31"/>
      <c r="L68" s="31"/>
      <c r="M68" s="31"/>
      <c r="N68" s="31"/>
      <c r="O68" s="31"/>
      <c r="P68" s="31"/>
      <c r="Q68" s="30"/>
      <c r="R68" t="s">
        <v>68</v>
      </c>
    </row>
    <row r="69" spans="1:18" x14ac:dyDescent="0.25">
      <c r="A69" s="29">
        <v>46101</v>
      </c>
      <c r="B69" t="s">
        <v>179</v>
      </c>
      <c r="C69" t="s">
        <v>35</v>
      </c>
      <c r="D69" t="s">
        <v>180</v>
      </c>
      <c r="E69" s="31"/>
      <c r="F69" s="31"/>
      <c r="G69" s="31"/>
      <c r="H69" s="31"/>
      <c r="I69" s="31">
        <v>102.66</v>
      </c>
      <c r="J69" s="31"/>
      <c r="K69" s="31"/>
      <c r="L69" s="31"/>
      <c r="M69" s="31"/>
      <c r="N69" s="31"/>
      <c r="O69" s="31"/>
      <c r="P69" s="31"/>
      <c r="Q69" s="30"/>
      <c r="R69" t="s">
        <v>68</v>
      </c>
    </row>
    <row r="70" spans="1:18" x14ac:dyDescent="0.25">
      <c r="A70" s="29">
        <v>46101</v>
      </c>
      <c r="B70" t="s">
        <v>181</v>
      </c>
      <c r="C70" t="s">
        <v>35</v>
      </c>
      <c r="D70" t="s">
        <v>182</v>
      </c>
      <c r="E70" s="31"/>
      <c r="F70" s="31"/>
      <c r="G70" s="31"/>
      <c r="H70" s="31"/>
      <c r="I70" s="31"/>
      <c r="J70" s="31"/>
      <c r="K70" s="31"/>
      <c r="L70" s="31">
        <v>104.54</v>
      </c>
      <c r="M70" s="31"/>
      <c r="N70" s="31"/>
      <c r="O70" s="31"/>
      <c r="P70" s="31"/>
      <c r="Q70" s="30"/>
      <c r="R70" t="s">
        <v>68</v>
      </c>
    </row>
    <row r="71" spans="1:18" x14ac:dyDescent="0.25">
      <c r="A71" s="29">
        <v>46101</v>
      </c>
      <c r="B71" t="s">
        <v>183</v>
      </c>
      <c r="C71" t="s">
        <v>39</v>
      </c>
      <c r="D71" t="s">
        <v>184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>
        <v>91.09</v>
      </c>
      <c r="Q71" s="30"/>
      <c r="R71" t="s">
        <v>68</v>
      </c>
    </row>
    <row r="72" spans="1:18" x14ac:dyDescent="0.25">
      <c r="A72" s="29">
        <v>46101</v>
      </c>
      <c r="B72" t="s">
        <v>185</v>
      </c>
      <c r="C72" t="s">
        <v>39</v>
      </c>
      <c r="D72" t="s">
        <v>186</v>
      </c>
      <c r="E72" s="31"/>
      <c r="F72" s="31"/>
      <c r="G72" s="31"/>
      <c r="H72" s="31"/>
      <c r="I72" s="31"/>
      <c r="J72" s="31"/>
      <c r="K72" s="31"/>
      <c r="L72" s="31"/>
      <c r="M72" s="31"/>
      <c r="N72" s="31">
        <v>92.78</v>
      </c>
      <c r="O72" s="31"/>
      <c r="P72" s="31"/>
      <c r="Q72" s="30"/>
      <c r="R72" t="s">
        <v>68</v>
      </c>
    </row>
    <row r="73" spans="1:18" x14ac:dyDescent="0.25">
      <c r="A73" s="29">
        <v>46101</v>
      </c>
      <c r="B73" t="s">
        <v>187</v>
      </c>
      <c r="C73" t="s">
        <v>39</v>
      </c>
      <c r="D73" t="s">
        <v>188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>
        <v>94.56</v>
      </c>
      <c r="P73" s="31"/>
      <c r="Q73" s="30"/>
      <c r="R73" t="s">
        <v>68</v>
      </c>
    </row>
    <row r="74" spans="1:18" x14ac:dyDescent="0.25">
      <c r="A74" s="29">
        <v>46101</v>
      </c>
      <c r="B74" t="s">
        <v>189</v>
      </c>
      <c r="C74" t="s">
        <v>39</v>
      </c>
      <c r="D74" t="s">
        <v>188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>
        <v>95.72</v>
      </c>
      <c r="P74" s="31"/>
      <c r="Q74" s="30"/>
      <c r="R74" t="s">
        <v>68</v>
      </c>
    </row>
    <row r="75" spans="1:18" x14ac:dyDescent="0.25">
      <c r="A75" s="29">
        <v>46101</v>
      </c>
      <c r="B75" t="s">
        <v>190</v>
      </c>
      <c r="C75" t="s">
        <v>37</v>
      </c>
      <c r="D75" t="s">
        <v>191</v>
      </c>
      <c r="E75" s="31"/>
      <c r="F75" s="31"/>
      <c r="G75" s="31"/>
      <c r="H75" s="31"/>
      <c r="I75" s="31">
        <v>34.51</v>
      </c>
      <c r="J75" s="31"/>
      <c r="K75" s="31"/>
      <c r="L75" s="31"/>
      <c r="M75" s="31"/>
      <c r="N75" s="31"/>
      <c r="O75" s="31"/>
      <c r="P75" s="31"/>
      <c r="Q75" s="30"/>
      <c r="R75" t="s">
        <v>68</v>
      </c>
    </row>
    <row r="76" spans="1:18" x14ac:dyDescent="0.25">
      <c r="A76" s="29">
        <v>46101</v>
      </c>
      <c r="B76" t="s">
        <v>192</v>
      </c>
      <c r="C76" t="s">
        <v>35</v>
      </c>
      <c r="D76" t="s">
        <v>193</v>
      </c>
      <c r="E76" s="31"/>
      <c r="F76" s="31"/>
      <c r="G76" s="31"/>
      <c r="H76" s="31"/>
      <c r="I76" s="31">
        <v>34.51</v>
      </c>
      <c r="J76" s="31"/>
      <c r="K76" s="31"/>
      <c r="L76" s="31"/>
      <c r="M76" s="31"/>
      <c r="N76" s="31"/>
      <c r="O76" s="31"/>
      <c r="P76" s="31"/>
      <c r="Q76" s="30"/>
      <c r="R76" t="s">
        <v>68</v>
      </c>
    </row>
    <row r="77" spans="1:18" x14ac:dyDescent="0.25">
      <c r="A77" s="29">
        <v>46101</v>
      </c>
      <c r="B77" t="s">
        <v>194</v>
      </c>
      <c r="C77" t="s">
        <v>10</v>
      </c>
      <c r="D77" t="s">
        <v>195</v>
      </c>
      <c r="E77" s="31">
        <v>104.58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0"/>
      <c r="R77" t="s">
        <v>68</v>
      </c>
    </row>
    <row r="78" spans="1:18" x14ac:dyDescent="0.25">
      <c r="A78" s="29">
        <v>46101</v>
      </c>
      <c r="B78" t="s">
        <v>196</v>
      </c>
      <c r="C78" t="s">
        <v>10</v>
      </c>
      <c r="D78" t="s">
        <v>197</v>
      </c>
      <c r="E78" s="31"/>
      <c r="F78" s="31"/>
      <c r="G78" s="31"/>
      <c r="H78" s="31"/>
      <c r="I78" s="31">
        <v>680.82</v>
      </c>
      <c r="J78" s="31"/>
      <c r="K78" s="31"/>
      <c r="L78" s="31"/>
      <c r="M78" s="31"/>
      <c r="N78" s="31"/>
      <c r="O78" s="31"/>
      <c r="P78" s="31"/>
      <c r="Q78" s="30"/>
      <c r="R78" t="s">
        <v>68</v>
      </c>
    </row>
    <row r="79" spans="1:18" x14ac:dyDescent="0.25">
      <c r="A79" s="29">
        <v>46101</v>
      </c>
      <c r="B79" t="s">
        <v>198</v>
      </c>
      <c r="C79" t="s">
        <v>35</v>
      </c>
      <c r="D79" t="s">
        <v>199</v>
      </c>
      <c r="E79" s="31"/>
      <c r="F79" s="31"/>
      <c r="G79" s="31"/>
      <c r="H79" s="31"/>
      <c r="I79" s="31">
        <v>34.51</v>
      </c>
      <c r="J79" s="31"/>
      <c r="K79" s="31"/>
      <c r="L79" s="31"/>
      <c r="M79" s="31"/>
      <c r="N79" s="31"/>
      <c r="O79" s="31"/>
      <c r="P79" s="31"/>
      <c r="Q79" s="30"/>
      <c r="R79" t="s">
        <v>68</v>
      </c>
    </row>
    <row r="80" spans="1:18" x14ac:dyDescent="0.25">
      <c r="A80" s="29">
        <v>46101</v>
      </c>
      <c r="B80" t="s">
        <v>200</v>
      </c>
      <c r="C80" t="s">
        <v>35</v>
      </c>
      <c r="D80" t="s">
        <v>201</v>
      </c>
      <c r="E80" s="31"/>
      <c r="F80" s="31"/>
      <c r="G80" s="31"/>
      <c r="H80" s="31"/>
      <c r="I80" s="31"/>
      <c r="J80" s="31"/>
      <c r="K80" s="31"/>
      <c r="L80" s="31">
        <v>34.51</v>
      </c>
      <c r="M80" s="31"/>
      <c r="N80" s="31"/>
      <c r="O80" s="31"/>
      <c r="P80" s="31"/>
      <c r="Q80" s="30"/>
      <c r="R80" t="s">
        <v>68</v>
      </c>
    </row>
    <row r="81" spans="1:18" x14ac:dyDescent="0.25">
      <c r="A81" s="29">
        <v>46101</v>
      </c>
      <c r="B81" t="s">
        <v>202</v>
      </c>
      <c r="C81" t="s">
        <v>35</v>
      </c>
      <c r="D81" t="s">
        <v>203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0"/>
      <c r="R81" t="s">
        <v>68</v>
      </c>
    </row>
    <row r="82" spans="1:18" x14ac:dyDescent="0.25">
      <c r="A82" s="29">
        <v>46101</v>
      </c>
      <c r="B82" t="s">
        <v>204</v>
      </c>
      <c r="C82" t="s">
        <v>35</v>
      </c>
      <c r="D82" t="s">
        <v>205</v>
      </c>
      <c r="E82" s="31"/>
      <c r="F82" s="31"/>
      <c r="G82" s="31"/>
      <c r="H82" s="31"/>
      <c r="I82" s="31">
        <v>138.04</v>
      </c>
      <c r="J82" s="31"/>
      <c r="K82" s="31"/>
      <c r="L82" s="31"/>
      <c r="M82" s="31"/>
      <c r="N82" s="31"/>
      <c r="O82" s="31"/>
      <c r="P82" s="31"/>
      <c r="Q82" s="30"/>
      <c r="R82" t="s">
        <v>68</v>
      </c>
    </row>
    <row r="83" spans="1:18" x14ac:dyDescent="0.25">
      <c r="A83" s="29">
        <v>46101</v>
      </c>
      <c r="B83" t="s">
        <v>206</v>
      </c>
      <c r="C83" t="s">
        <v>35</v>
      </c>
      <c r="D83" t="s">
        <v>207</v>
      </c>
      <c r="E83" s="31"/>
      <c r="F83" s="31"/>
      <c r="G83" s="31"/>
      <c r="H83" s="31"/>
      <c r="I83" s="31"/>
      <c r="J83" s="31"/>
      <c r="K83" s="31"/>
      <c r="L83" s="31">
        <v>138.04</v>
      </c>
      <c r="M83" s="31"/>
      <c r="N83" s="31"/>
      <c r="O83" s="31"/>
      <c r="P83" s="31"/>
      <c r="Q83" s="30"/>
      <c r="R83" t="s">
        <v>68</v>
      </c>
    </row>
    <row r="84" spans="1:18" x14ac:dyDescent="0.25">
      <c r="A84" s="29">
        <v>46101</v>
      </c>
      <c r="B84" t="s">
        <v>208</v>
      </c>
      <c r="C84" t="s">
        <v>36</v>
      </c>
      <c r="D84" t="s">
        <v>209</v>
      </c>
      <c r="E84" s="31"/>
      <c r="F84" s="31"/>
      <c r="G84" s="31"/>
      <c r="H84" s="31"/>
      <c r="I84" s="31">
        <v>34.51</v>
      </c>
      <c r="J84" s="31"/>
      <c r="K84" s="31"/>
      <c r="L84" s="31"/>
      <c r="M84" s="31"/>
      <c r="N84" s="31"/>
      <c r="O84" s="31"/>
      <c r="P84" s="31"/>
      <c r="Q84" s="30"/>
      <c r="R84" t="s">
        <v>68</v>
      </c>
    </row>
    <row r="85" spans="1:18" x14ac:dyDescent="0.25">
      <c r="A85" s="29">
        <v>46101</v>
      </c>
      <c r="B85" t="s">
        <v>210</v>
      </c>
      <c r="C85" t="s">
        <v>34</v>
      </c>
      <c r="D85" t="s">
        <v>211</v>
      </c>
      <c r="E85" s="31"/>
      <c r="F85" s="31"/>
      <c r="G85" s="31"/>
      <c r="H85" s="31"/>
      <c r="I85" s="31">
        <v>69.02</v>
      </c>
      <c r="J85" s="31"/>
      <c r="K85" s="31"/>
      <c r="L85" s="31"/>
      <c r="M85" s="31"/>
      <c r="N85" s="31"/>
      <c r="O85" s="31"/>
      <c r="P85" s="31"/>
      <c r="Q85" s="30"/>
      <c r="R85" t="s">
        <v>68</v>
      </c>
    </row>
    <row r="86" spans="1:18" x14ac:dyDescent="0.25">
      <c r="A86" s="29">
        <v>46111</v>
      </c>
      <c r="B86" t="s">
        <v>212</v>
      </c>
      <c r="C86" t="s">
        <v>37</v>
      </c>
      <c r="D86" t="s">
        <v>213</v>
      </c>
      <c r="E86" s="31"/>
      <c r="F86" s="31"/>
      <c r="G86" s="31"/>
      <c r="H86" s="31"/>
      <c r="I86" s="31">
        <v>85.57</v>
      </c>
      <c r="J86" s="31"/>
      <c r="K86" s="31"/>
      <c r="L86" s="31"/>
      <c r="M86" s="31"/>
      <c r="N86" s="31"/>
      <c r="O86" s="31"/>
      <c r="P86" s="31"/>
      <c r="Q86" s="30"/>
      <c r="R86" t="s">
        <v>68</v>
      </c>
    </row>
    <row r="87" spans="1:18" x14ac:dyDescent="0.25">
      <c r="A87" s="29">
        <v>46111</v>
      </c>
      <c r="B87" t="s">
        <v>214</v>
      </c>
      <c r="C87" t="s">
        <v>35</v>
      </c>
      <c r="D87" t="s">
        <v>215</v>
      </c>
      <c r="E87" s="31"/>
      <c r="F87" s="31"/>
      <c r="G87" s="31"/>
      <c r="H87" s="31"/>
      <c r="I87" s="31">
        <v>375.78</v>
      </c>
      <c r="J87" s="31"/>
      <c r="K87" s="31"/>
      <c r="L87" s="31"/>
      <c r="M87" s="31"/>
      <c r="N87" s="31"/>
      <c r="O87" s="31"/>
      <c r="P87" s="31"/>
      <c r="Q87" s="30"/>
      <c r="R87" t="s">
        <v>68</v>
      </c>
    </row>
    <row r="88" spans="1:18" x14ac:dyDescent="0.25">
      <c r="A88" s="29">
        <v>46111</v>
      </c>
      <c r="B88" t="s">
        <v>216</v>
      </c>
      <c r="C88" t="s">
        <v>35</v>
      </c>
      <c r="D88" t="s">
        <v>217</v>
      </c>
      <c r="E88" s="31"/>
      <c r="F88" s="31"/>
      <c r="G88" s="31"/>
      <c r="H88" s="31"/>
      <c r="I88" s="31"/>
      <c r="J88" s="31"/>
      <c r="K88" s="31"/>
      <c r="L88" s="31">
        <v>380.74</v>
      </c>
      <c r="M88" s="31"/>
      <c r="N88" s="31"/>
      <c r="O88" s="31"/>
      <c r="P88" s="31"/>
      <c r="Q88" s="30"/>
      <c r="R88" t="s">
        <v>68</v>
      </c>
    </row>
    <row r="89" spans="1:18" x14ac:dyDescent="0.25">
      <c r="A89" s="29">
        <v>46052</v>
      </c>
      <c r="B89" t="s">
        <v>218</v>
      </c>
      <c r="C89" t="s">
        <v>34</v>
      </c>
      <c r="D89" t="s">
        <v>219</v>
      </c>
      <c r="E89" s="31"/>
      <c r="F89" s="31"/>
      <c r="G89" s="31"/>
      <c r="H89" s="31">
        <v>235.14</v>
      </c>
      <c r="I89" s="31"/>
      <c r="J89" s="31"/>
      <c r="K89" s="31"/>
      <c r="L89" s="31"/>
      <c r="M89" s="31"/>
      <c r="N89" s="31"/>
      <c r="O89" s="31"/>
      <c r="P89" s="31"/>
      <c r="Q89" s="30"/>
      <c r="R89" t="s">
        <v>220</v>
      </c>
    </row>
    <row r="90" spans="1:18" x14ac:dyDescent="0.25">
      <c r="A90" s="29">
        <v>46080</v>
      </c>
      <c r="B90" t="s">
        <v>221</v>
      </c>
      <c r="C90" t="s">
        <v>38</v>
      </c>
      <c r="D90" t="s">
        <v>219</v>
      </c>
      <c r="E90" s="31"/>
      <c r="F90" s="31"/>
      <c r="G90" s="31"/>
      <c r="H90" s="31">
        <v>320.73</v>
      </c>
      <c r="I90" s="31"/>
      <c r="J90" s="31"/>
      <c r="K90" s="31"/>
      <c r="L90" s="31"/>
      <c r="M90" s="31"/>
      <c r="N90" s="31"/>
      <c r="O90" s="31"/>
      <c r="P90" s="31"/>
      <c r="Q90" s="30"/>
      <c r="R90" t="s">
        <v>220</v>
      </c>
    </row>
    <row r="91" spans="1:18" x14ac:dyDescent="0.25">
      <c r="A91" s="29">
        <v>46134</v>
      </c>
      <c r="B91" t="s">
        <v>222</v>
      </c>
      <c r="C91" t="s">
        <v>35</v>
      </c>
      <c r="D91" t="s">
        <v>223</v>
      </c>
      <c r="E91" s="31"/>
      <c r="F91" s="31"/>
      <c r="G91" s="31"/>
      <c r="H91" s="31"/>
      <c r="I91" s="31"/>
      <c r="J91" s="31"/>
      <c r="K91" s="31"/>
      <c r="L91" s="31">
        <v>568.15</v>
      </c>
      <c r="M91" s="31"/>
      <c r="N91" s="31"/>
      <c r="O91" s="31"/>
      <c r="P91" s="31"/>
      <c r="Q91" s="30"/>
      <c r="R91" t="s">
        <v>68</v>
      </c>
    </row>
    <row r="92" spans="1:18" x14ac:dyDescent="0.25">
      <c r="A92" s="29">
        <v>46134</v>
      </c>
      <c r="B92" t="s">
        <v>224</v>
      </c>
      <c r="C92" t="s">
        <v>35</v>
      </c>
      <c r="D92" t="s">
        <v>225</v>
      </c>
      <c r="E92" s="31"/>
      <c r="F92" s="31"/>
      <c r="G92" s="31"/>
      <c r="H92" s="31"/>
      <c r="I92" s="31">
        <v>562.45000000000005</v>
      </c>
      <c r="J92" s="31"/>
      <c r="K92" s="31"/>
      <c r="L92" s="31"/>
      <c r="M92" s="31"/>
      <c r="N92" s="31"/>
      <c r="O92" s="31"/>
      <c r="P92" s="31"/>
      <c r="Q92" s="30"/>
      <c r="R92" t="s">
        <v>68</v>
      </c>
    </row>
    <row r="93" spans="1:18" x14ac:dyDescent="0.25">
      <c r="A93" s="29">
        <v>46134</v>
      </c>
      <c r="B93" t="s">
        <v>226</v>
      </c>
      <c r="C93" t="s">
        <v>34</v>
      </c>
      <c r="D93" t="s">
        <v>227</v>
      </c>
      <c r="E93" s="31"/>
      <c r="F93" s="31"/>
      <c r="G93" s="31"/>
      <c r="H93" s="31"/>
      <c r="I93" s="31">
        <v>147.66</v>
      </c>
      <c r="J93" s="31"/>
      <c r="K93" s="31"/>
      <c r="L93" s="31"/>
      <c r="M93" s="31"/>
      <c r="N93" s="31"/>
      <c r="O93" s="31"/>
      <c r="P93" s="31"/>
      <c r="Q93" s="30"/>
      <c r="R93" t="s">
        <v>68</v>
      </c>
    </row>
    <row r="94" spans="1:18" x14ac:dyDescent="0.25">
      <c r="A94" s="29">
        <v>46134</v>
      </c>
      <c r="B94" t="s">
        <v>228</v>
      </c>
      <c r="C94" t="s">
        <v>35</v>
      </c>
      <c r="D94" t="s">
        <v>229</v>
      </c>
      <c r="E94" s="31"/>
      <c r="F94" s="31"/>
      <c r="G94" s="31"/>
      <c r="H94" s="31"/>
      <c r="I94" s="31">
        <v>34.51</v>
      </c>
      <c r="J94" s="31"/>
      <c r="K94" s="31"/>
      <c r="L94" s="31"/>
      <c r="M94" s="31"/>
      <c r="N94" s="31"/>
      <c r="O94" s="31"/>
      <c r="P94" s="31"/>
      <c r="Q94" s="30"/>
      <c r="R94" t="s">
        <v>68</v>
      </c>
    </row>
    <row r="95" spans="1:18" x14ac:dyDescent="0.25">
      <c r="A95" s="29">
        <v>46134</v>
      </c>
      <c r="B95" t="s">
        <v>230</v>
      </c>
      <c r="C95" t="s">
        <v>35</v>
      </c>
      <c r="D95" t="s">
        <v>231</v>
      </c>
      <c r="E95" s="31"/>
      <c r="F95" s="31"/>
      <c r="G95" s="31"/>
      <c r="H95" s="31"/>
      <c r="I95" s="31"/>
      <c r="J95" s="31"/>
      <c r="K95" s="31"/>
      <c r="L95" s="31">
        <v>34.51</v>
      </c>
      <c r="M95" s="31"/>
      <c r="N95" s="31"/>
      <c r="O95" s="31"/>
      <c r="P95" s="31"/>
      <c r="Q95" s="30"/>
      <c r="R95" t="s">
        <v>68</v>
      </c>
    </row>
    <row r="96" spans="1:18" x14ac:dyDescent="0.25">
      <c r="A96" s="29">
        <v>46141</v>
      </c>
      <c r="B96" t="s">
        <v>232</v>
      </c>
      <c r="C96" t="s">
        <v>10</v>
      </c>
      <c r="D96" t="s">
        <v>233</v>
      </c>
      <c r="E96" s="31"/>
      <c r="F96" s="31"/>
      <c r="G96" s="31">
        <v>91.21</v>
      </c>
      <c r="H96" s="31"/>
      <c r="I96" s="31"/>
      <c r="J96" s="31"/>
      <c r="K96" s="31"/>
      <c r="L96" s="31"/>
      <c r="M96" s="31"/>
      <c r="N96" s="31"/>
      <c r="O96" s="31"/>
      <c r="P96" s="31"/>
      <c r="Q96" s="30"/>
      <c r="R96" t="s">
        <v>68</v>
      </c>
    </row>
    <row r="97" spans="1:18" x14ac:dyDescent="0.25">
      <c r="A97" s="29">
        <v>46141</v>
      </c>
      <c r="B97" t="s">
        <v>234</v>
      </c>
      <c r="C97" t="s">
        <v>35</v>
      </c>
      <c r="D97" t="s">
        <v>235</v>
      </c>
      <c r="E97" s="31"/>
      <c r="F97" s="31"/>
      <c r="G97" s="31"/>
      <c r="H97" s="31"/>
      <c r="I97" s="31"/>
      <c r="J97" s="31"/>
      <c r="K97" s="31"/>
      <c r="L97" s="31">
        <v>95.18</v>
      </c>
      <c r="M97" s="31"/>
      <c r="N97" s="31"/>
      <c r="O97" s="31"/>
      <c r="P97" s="31"/>
      <c r="Q97" s="30"/>
      <c r="R97" t="s">
        <v>68</v>
      </c>
    </row>
    <row r="98" spans="1:18" x14ac:dyDescent="0.25">
      <c r="A98" s="29">
        <v>46141</v>
      </c>
      <c r="B98" t="s">
        <v>236</v>
      </c>
      <c r="C98" t="s">
        <v>35</v>
      </c>
      <c r="D98" t="s">
        <v>237</v>
      </c>
      <c r="E98" s="31"/>
      <c r="F98" s="31"/>
      <c r="G98" s="31"/>
      <c r="H98" s="31"/>
      <c r="I98" s="31">
        <v>95.18</v>
      </c>
      <c r="J98" s="31"/>
      <c r="K98" s="31"/>
      <c r="L98" s="31"/>
      <c r="M98" s="31"/>
      <c r="N98" s="31"/>
      <c r="O98" s="31"/>
      <c r="P98" s="31"/>
      <c r="Q98" s="30"/>
      <c r="R98" t="s">
        <v>68</v>
      </c>
    </row>
    <row r="99" spans="1:18" x14ac:dyDescent="0.25">
      <c r="A99" s="29">
        <v>46141</v>
      </c>
      <c r="B99" t="s">
        <v>238</v>
      </c>
      <c r="C99" t="s">
        <v>35</v>
      </c>
      <c r="D99" t="s">
        <v>239</v>
      </c>
      <c r="E99" s="31"/>
      <c r="F99" s="31"/>
      <c r="G99" s="31"/>
      <c r="H99" s="31"/>
      <c r="I99" s="31"/>
      <c r="J99" s="31"/>
      <c r="K99" s="31"/>
      <c r="L99" s="31">
        <v>97.44</v>
      </c>
      <c r="M99" s="31"/>
      <c r="N99" s="31"/>
      <c r="O99" s="31"/>
      <c r="P99" s="31"/>
      <c r="Q99" s="30"/>
      <c r="R99" t="s">
        <v>68</v>
      </c>
    </row>
    <row r="100" spans="1:18" x14ac:dyDescent="0.25">
      <c r="A100" s="29">
        <v>46141</v>
      </c>
      <c r="B100" t="s">
        <v>240</v>
      </c>
      <c r="C100" t="s">
        <v>35</v>
      </c>
      <c r="D100" t="s">
        <v>241</v>
      </c>
      <c r="E100" s="31"/>
      <c r="F100" s="31"/>
      <c r="G100" s="31"/>
      <c r="H100" s="31"/>
      <c r="I100" s="31">
        <v>92.68</v>
      </c>
      <c r="J100" s="31"/>
      <c r="K100" s="31"/>
      <c r="L100" s="31"/>
      <c r="M100" s="31"/>
      <c r="N100" s="31"/>
      <c r="O100" s="31"/>
      <c r="P100" s="31"/>
      <c r="Q100" s="30"/>
      <c r="R100" t="s">
        <v>68</v>
      </c>
    </row>
    <row r="101" spans="1:18" x14ac:dyDescent="0.25">
      <c r="A101" s="18" t="s">
        <v>242</v>
      </c>
      <c r="B101" s="28" t="s">
        <v>243</v>
      </c>
      <c r="C101" t="s">
        <v>34</v>
      </c>
      <c r="D101" s="28" t="s">
        <v>219</v>
      </c>
      <c r="E101" s="33"/>
      <c r="F101" s="33">
        <v>517.41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0"/>
      <c r="R101" t="s">
        <v>47</v>
      </c>
    </row>
    <row r="102" spans="1:18" x14ac:dyDescent="0.25">
      <c r="A102" s="18" t="s">
        <v>242</v>
      </c>
      <c r="B102" s="28" t="s">
        <v>244</v>
      </c>
      <c r="C102" t="s">
        <v>34</v>
      </c>
      <c r="D102" s="28" t="s">
        <v>219</v>
      </c>
      <c r="E102" s="33"/>
      <c r="F102" s="33">
        <v>95.3</v>
      </c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0"/>
      <c r="R102" t="s">
        <v>47</v>
      </c>
    </row>
    <row r="103" spans="1:18" x14ac:dyDescent="0.25">
      <c r="A103" s="18" t="s">
        <v>242</v>
      </c>
      <c r="B103" s="28" t="s">
        <v>245</v>
      </c>
      <c r="C103" t="s">
        <v>38</v>
      </c>
      <c r="D103" s="28" t="s">
        <v>219</v>
      </c>
      <c r="E103" s="33"/>
      <c r="F103" s="33">
        <v>186.03</v>
      </c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0"/>
      <c r="R103" t="s">
        <v>47</v>
      </c>
    </row>
    <row r="104" spans="1:18" x14ac:dyDescent="0.25">
      <c r="A104" s="18" t="s">
        <v>246</v>
      </c>
      <c r="B104" t="s">
        <v>247</v>
      </c>
      <c r="C104" t="s">
        <v>35</v>
      </c>
      <c r="D104" t="s">
        <v>248</v>
      </c>
      <c r="E104" s="31"/>
      <c r="F104" s="31"/>
      <c r="G104" s="31"/>
      <c r="H104" s="31"/>
      <c r="I104" s="31"/>
      <c r="J104" s="31"/>
      <c r="K104" s="31"/>
      <c r="L104" s="31">
        <v>147.55000000000001</v>
      </c>
      <c r="M104" s="31"/>
      <c r="N104" s="31"/>
      <c r="O104" s="31"/>
      <c r="P104" s="31"/>
      <c r="Q104" s="30"/>
      <c r="R104" t="s">
        <v>68</v>
      </c>
    </row>
    <row r="105" spans="1:18" x14ac:dyDescent="0.25">
      <c r="A105" s="18" t="s">
        <v>246</v>
      </c>
      <c r="B105" t="s">
        <v>249</v>
      </c>
      <c r="C105" t="s">
        <v>35</v>
      </c>
      <c r="D105" t="s">
        <v>250</v>
      </c>
      <c r="E105" s="31"/>
      <c r="F105" s="31"/>
      <c r="G105" s="31"/>
      <c r="H105" s="31"/>
      <c r="I105" s="31" t="s">
        <v>251</v>
      </c>
      <c r="J105" s="31"/>
      <c r="K105" s="31"/>
      <c r="L105" s="31"/>
      <c r="M105" s="31"/>
      <c r="N105" s="31"/>
      <c r="O105" s="31"/>
      <c r="P105" s="31"/>
      <c r="Q105" s="30"/>
      <c r="R105" t="s">
        <v>68</v>
      </c>
    </row>
    <row r="106" spans="1:18" x14ac:dyDescent="0.25">
      <c r="A106" s="18" t="s">
        <v>246</v>
      </c>
      <c r="B106" t="s">
        <v>252</v>
      </c>
      <c r="C106" t="s">
        <v>35</v>
      </c>
      <c r="D106" t="s">
        <v>253</v>
      </c>
      <c r="E106" s="31"/>
      <c r="F106" s="31"/>
      <c r="G106" s="31"/>
      <c r="H106" s="31"/>
      <c r="I106" s="31">
        <v>1128.0999999999999</v>
      </c>
      <c r="J106" s="31"/>
      <c r="K106" s="31"/>
      <c r="L106" s="31"/>
      <c r="M106" s="31"/>
      <c r="N106" s="31"/>
      <c r="O106" s="31"/>
      <c r="P106" s="31"/>
      <c r="Q106" s="30"/>
      <c r="R106" t="s">
        <v>68</v>
      </c>
    </row>
    <row r="107" spans="1:18" x14ac:dyDescent="0.25">
      <c r="A107" s="18" t="s">
        <v>246</v>
      </c>
      <c r="B107" t="s">
        <v>254</v>
      </c>
      <c r="C107" t="s">
        <v>35</v>
      </c>
      <c r="D107" t="s">
        <v>255</v>
      </c>
      <c r="E107" s="31"/>
      <c r="F107" s="31"/>
      <c r="G107" s="31"/>
      <c r="H107" s="31"/>
      <c r="I107" s="31"/>
      <c r="J107" s="31"/>
      <c r="K107" s="31"/>
      <c r="L107" s="31">
        <v>1126.5</v>
      </c>
      <c r="M107" s="31"/>
      <c r="N107" s="31"/>
      <c r="O107" s="31"/>
      <c r="P107" s="31"/>
      <c r="Q107" s="30"/>
      <c r="R107" t="s">
        <v>68</v>
      </c>
    </row>
    <row r="108" spans="1:18" x14ac:dyDescent="0.25">
      <c r="A108" s="18" t="s">
        <v>246</v>
      </c>
      <c r="B108" t="s">
        <v>256</v>
      </c>
      <c r="C108" t="s">
        <v>35</v>
      </c>
      <c r="D108" t="s">
        <v>257</v>
      </c>
      <c r="E108" s="31"/>
      <c r="F108" s="31"/>
      <c r="G108" s="31"/>
      <c r="H108" s="31"/>
      <c r="I108" s="31"/>
      <c r="J108" s="31"/>
      <c r="K108" s="31"/>
      <c r="L108" s="31">
        <v>666.83</v>
      </c>
      <c r="M108" s="31"/>
      <c r="N108" s="31"/>
      <c r="O108" s="31"/>
      <c r="P108" s="31"/>
      <c r="Q108" s="30"/>
      <c r="R108" t="s">
        <v>68</v>
      </c>
    </row>
    <row r="109" spans="1:18" x14ac:dyDescent="0.25">
      <c r="A109" s="18" t="s">
        <v>246</v>
      </c>
      <c r="B109" t="s">
        <v>258</v>
      </c>
      <c r="C109" t="s">
        <v>38</v>
      </c>
      <c r="D109" t="s">
        <v>259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>
        <v>564.82000000000005</v>
      </c>
      <c r="R109" t="s">
        <v>68</v>
      </c>
    </row>
    <row r="110" spans="1:18" x14ac:dyDescent="0.25">
      <c r="A110" s="18" t="s">
        <v>246</v>
      </c>
      <c r="B110" t="s">
        <v>260</v>
      </c>
      <c r="C110" t="s">
        <v>35</v>
      </c>
      <c r="D110" t="s">
        <v>261</v>
      </c>
      <c r="E110" s="31"/>
      <c r="F110" s="31"/>
      <c r="G110" s="31"/>
      <c r="H110" s="31"/>
      <c r="I110" s="31">
        <v>626.55999999999995</v>
      </c>
      <c r="J110" s="31"/>
      <c r="K110" s="31"/>
      <c r="L110" s="31"/>
      <c r="M110" s="31"/>
      <c r="N110" s="31"/>
      <c r="O110" s="31"/>
      <c r="P110" s="31"/>
      <c r="Q110" s="30"/>
      <c r="R110" t="s">
        <v>68</v>
      </c>
    </row>
    <row r="111" spans="1:18" x14ac:dyDescent="0.25">
      <c r="A111" s="18" t="s">
        <v>246</v>
      </c>
      <c r="B111" t="s">
        <v>262</v>
      </c>
      <c r="C111" t="s">
        <v>39</v>
      </c>
      <c r="D111" t="s">
        <v>263</v>
      </c>
      <c r="E111" s="31"/>
      <c r="F111" s="31"/>
      <c r="G111" s="31"/>
      <c r="H111" s="31"/>
      <c r="I111" s="31"/>
      <c r="J111" s="31"/>
      <c r="K111" s="31"/>
      <c r="L111" s="31">
        <v>192.68</v>
      </c>
      <c r="M111" s="31"/>
      <c r="N111" s="31"/>
      <c r="O111" s="31"/>
      <c r="P111" s="31"/>
      <c r="Q111" s="30"/>
      <c r="R111" t="s">
        <v>68</v>
      </c>
    </row>
    <row r="112" spans="1:18" x14ac:dyDescent="0.25">
      <c r="A112" s="18" t="s">
        <v>246</v>
      </c>
      <c r="B112" t="s">
        <v>264</v>
      </c>
      <c r="C112" t="s">
        <v>39</v>
      </c>
      <c r="D112" t="s">
        <v>265</v>
      </c>
      <c r="E112" s="31"/>
      <c r="F112" s="31"/>
      <c r="G112" s="31"/>
      <c r="H112" s="31"/>
      <c r="I112" s="31">
        <v>157.79</v>
      </c>
      <c r="J112" s="31"/>
      <c r="K112" s="31"/>
      <c r="L112" s="31"/>
      <c r="M112" s="31"/>
      <c r="N112" s="31"/>
      <c r="O112" s="31"/>
      <c r="P112" s="31"/>
      <c r="Q112" s="30"/>
      <c r="R112" t="s">
        <v>68</v>
      </c>
    </row>
    <row r="113" spans="1:18" x14ac:dyDescent="0.25">
      <c r="A113" s="36" t="s">
        <v>266</v>
      </c>
      <c r="B113" t="s">
        <v>267</v>
      </c>
      <c r="C113" t="s">
        <v>39</v>
      </c>
      <c r="D113" t="s">
        <v>268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>
        <v>69.02</v>
      </c>
      <c r="Q113" s="30"/>
      <c r="R113" t="s">
        <v>68</v>
      </c>
    </row>
    <row r="114" spans="1:18" x14ac:dyDescent="0.25">
      <c r="A114" s="36" t="s">
        <v>266</v>
      </c>
      <c r="B114" s="35" t="s">
        <v>269</v>
      </c>
      <c r="C114" t="s">
        <v>39</v>
      </c>
      <c r="D114" t="s">
        <v>270</v>
      </c>
      <c r="E114" s="31"/>
      <c r="F114" s="31"/>
      <c r="G114" s="31"/>
      <c r="H114" s="31"/>
      <c r="I114" s="31">
        <v>70.89</v>
      </c>
      <c r="J114" s="31"/>
      <c r="K114" s="31"/>
      <c r="L114" s="31"/>
      <c r="M114" s="31"/>
      <c r="N114" s="31"/>
      <c r="O114" s="31"/>
      <c r="P114" s="31"/>
      <c r="Q114" s="30"/>
      <c r="R114" t="s">
        <v>68</v>
      </c>
    </row>
    <row r="115" spans="1:18" x14ac:dyDescent="0.25">
      <c r="A115" s="36" t="s">
        <v>266</v>
      </c>
      <c r="B115" t="s">
        <v>271</v>
      </c>
      <c r="C115" t="s">
        <v>34</v>
      </c>
      <c r="D115" t="s">
        <v>272</v>
      </c>
      <c r="E115" s="31"/>
      <c r="F115" s="31"/>
      <c r="G115" s="31"/>
      <c r="H115" s="31"/>
      <c r="I115" s="31">
        <v>69.02</v>
      </c>
      <c r="J115" s="31"/>
      <c r="K115" s="31"/>
      <c r="L115" s="31"/>
      <c r="M115" s="31"/>
      <c r="N115" s="31"/>
      <c r="O115" s="31"/>
      <c r="P115" s="31"/>
      <c r="Q115" s="30"/>
      <c r="R115" t="s">
        <v>68</v>
      </c>
    </row>
    <row r="116" spans="1:18" x14ac:dyDescent="0.25">
      <c r="A116" s="36" t="s">
        <v>266</v>
      </c>
      <c r="B116" t="s">
        <v>273</v>
      </c>
      <c r="C116" t="s">
        <v>35</v>
      </c>
      <c r="D116" t="s">
        <v>274</v>
      </c>
      <c r="E116" s="31"/>
      <c r="F116" s="31"/>
      <c r="G116" s="31"/>
      <c r="H116" s="31"/>
      <c r="I116" s="31">
        <v>79.88</v>
      </c>
      <c r="J116" s="31"/>
      <c r="K116" s="31"/>
      <c r="L116" s="31"/>
      <c r="M116" s="31"/>
      <c r="N116" s="31"/>
      <c r="O116" s="31"/>
      <c r="P116" s="31"/>
      <c r="Q116" s="30"/>
      <c r="R116" t="s">
        <v>68</v>
      </c>
    </row>
    <row r="117" spans="1:18" x14ac:dyDescent="0.25">
      <c r="A117" s="36" t="s">
        <v>266</v>
      </c>
      <c r="B117" t="s">
        <v>275</v>
      </c>
      <c r="C117" t="s">
        <v>35</v>
      </c>
      <c r="D117" t="s">
        <v>276</v>
      </c>
      <c r="E117" s="31"/>
      <c r="F117" s="31"/>
      <c r="G117" s="31"/>
      <c r="H117" s="31"/>
      <c r="I117" s="31">
        <v>184.58</v>
      </c>
      <c r="J117" s="31"/>
      <c r="K117" s="31"/>
      <c r="L117" s="31"/>
      <c r="M117" s="31"/>
      <c r="N117" s="31"/>
      <c r="O117" s="31"/>
      <c r="P117" s="31"/>
      <c r="Q117" s="30"/>
      <c r="R117" t="s">
        <v>68</v>
      </c>
    </row>
    <row r="118" spans="1:18" x14ac:dyDescent="0.25">
      <c r="A118" s="36" t="s">
        <v>266</v>
      </c>
      <c r="B118" t="s">
        <v>277</v>
      </c>
      <c r="C118" t="s">
        <v>35</v>
      </c>
      <c r="D118" t="s">
        <v>278</v>
      </c>
      <c r="E118" s="31"/>
      <c r="F118" s="31"/>
      <c r="G118" s="31"/>
      <c r="H118" s="31"/>
      <c r="I118" s="31"/>
      <c r="J118" s="31"/>
      <c r="K118" s="31"/>
      <c r="L118" s="31">
        <v>64.319999999999993</v>
      </c>
      <c r="M118" s="31"/>
      <c r="N118" s="31"/>
      <c r="O118" s="31"/>
      <c r="P118" s="31"/>
      <c r="Q118" s="30"/>
      <c r="R118" t="s">
        <v>68</v>
      </c>
    </row>
    <row r="119" spans="1:18" x14ac:dyDescent="0.25">
      <c r="A119" s="36" t="s">
        <v>266</v>
      </c>
      <c r="B119" t="s">
        <v>279</v>
      </c>
      <c r="C119" t="s">
        <v>35</v>
      </c>
      <c r="D119" t="s">
        <v>280</v>
      </c>
      <c r="E119" s="31"/>
      <c r="F119" s="31"/>
      <c r="G119" s="31"/>
      <c r="H119" s="31"/>
      <c r="I119" s="31"/>
      <c r="J119" s="31"/>
      <c r="K119" s="31"/>
      <c r="L119" s="31">
        <v>142.43</v>
      </c>
      <c r="M119" s="31"/>
      <c r="N119" s="31"/>
      <c r="O119" s="31"/>
      <c r="P119" s="31"/>
      <c r="Q119" s="30"/>
      <c r="R119" t="s">
        <v>68</v>
      </c>
    </row>
    <row r="120" spans="1:18" x14ac:dyDescent="0.25">
      <c r="A120" s="36" t="s">
        <v>266</v>
      </c>
      <c r="B120" t="s">
        <v>281</v>
      </c>
      <c r="C120" t="s">
        <v>35</v>
      </c>
      <c r="D120" t="s">
        <v>282</v>
      </c>
      <c r="E120" s="31"/>
      <c r="F120" s="31"/>
      <c r="G120" s="31"/>
      <c r="H120" s="31"/>
      <c r="I120" s="31">
        <v>127.63</v>
      </c>
      <c r="J120" s="31"/>
      <c r="K120" s="31"/>
      <c r="L120" s="31"/>
      <c r="M120" s="31"/>
      <c r="N120" s="31"/>
      <c r="O120" s="31"/>
      <c r="P120" s="31"/>
      <c r="Q120" s="30"/>
      <c r="R120" t="s">
        <v>68</v>
      </c>
    </row>
    <row r="121" spans="1:18" x14ac:dyDescent="0.25">
      <c r="A121" s="36" t="s">
        <v>266</v>
      </c>
      <c r="B121" t="s">
        <v>283</v>
      </c>
      <c r="C121" t="s">
        <v>35</v>
      </c>
      <c r="D121" t="s">
        <v>284</v>
      </c>
      <c r="E121" s="31"/>
      <c r="F121" s="31"/>
      <c r="G121" s="31"/>
      <c r="H121" s="31"/>
      <c r="I121" s="31"/>
      <c r="J121" s="31"/>
      <c r="K121" s="31"/>
      <c r="L121" s="31">
        <v>79.97</v>
      </c>
      <c r="M121" s="31"/>
      <c r="N121" s="31"/>
      <c r="O121" s="31"/>
      <c r="P121" s="31"/>
      <c r="Q121" s="30"/>
      <c r="R121" t="s">
        <v>68</v>
      </c>
    </row>
    <row r="122" spans="1:18" x14ac:dyDescent="0.25">
      <c r="A122" s="36" t="s">
        <v>285</v>
      </c>
      <c r="B122" t="s">
        <v>286</v>
      </c>
      <c r="C122" t="s">
        <v>34</v>
      </c>
      <c r="D122" t="s">
        <v>287</v>
      </c>
      <c r="E122" s="31"/>
      <c r="F122" s="31">
        <v>187.93</v>
      </c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0"/>
      <c r="R122" t="s">
        <v>47</v>
      </c>
    </row>
    <row r="123" spans="1:18" x14ac:dyDescent="0.25">
      <c r="A123" s="36" t="s">
        <v>285</v>
      </c>
      <c r="B123" t="s">
        <v>288</v>
      </c>
      <c r="C123" t="s">
        <v>38</v>
      </c>
      <c r="D123" t="s">
        <v>287</v>
      </c>
      <c r="E123" s="30"/>
      <c r="F123" s="31">
        <v>188.56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t="s">
        <v>47</v>
      </c>
    </row>
    <row r="124" spans="1:18" x14ac:dyDescent="0.25">
      <c r="A124" s="36" t="s">
        <v>285</v>
      </c>
      <c r="B124" t="s">
        <v>289</v>
      </c>
      <c r="C124" t="s">
        <v>38</v>
      </c>
      <c r="D124" t="s">
        <v>287</v>
      </c>
      <c r="E124" s="30"/>
      <c r="F124" s="31">
        <v>140.38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t="s">
        <v>47</v>
      </c>
    </row>
    <row r="125" spans="1:18" x14ac:dyDescent="0.25">
      <c r="A125" s="36" t="s">
        <v>290</v>
      </c>
      <c r="B125" t="s">
        <v>291</v>
      </c>
      <c r="C125" t="s">
        <v>35</v>
      </c>
      <c r="D125" t="s">
        <v>292</v>
      </c>
      <c r="E125" s="30"/>
      <c r="F125" s="31"/>
      <c r="G125" s="30"/>
      <c r="H125" s="30"/>
      <c r="I125" s="30">
        <v>146.16</v>
      </c>
      <c r="J125" s="30"/>
      <c r="K125" s="30"/>
      <c r="L125" s="30"/>
      <c r="M125" s="30"/>
      <c r="N125" s="30"/>
      <c r="O125" s="30"/>
      <c r="P125" s="30"/>
      <c r="Q125" s="30"/>
      <c r="R125" t="s">
        <v>68</v>
      </c>
    </row>
    <row r="126" spans="1:18" x14ac:dyDescent="0.25">
      <c r="A126" s="36" t="s">
        <v>290</v>
      </c>
      <c r="B126" t="s">
        <v>293</v>
      </c>
      <c r="C126" t="s">
        <v>35</v>
      </c>
      <c r="D126" t="s">
        <v>294</v>
      </c>
      <c r="E126" s="30"/>
      <c r="F126" s="31"/>
      <c r="G126" s="30"/>
      <c r="H126" s="30"/>
      <c r="I126" s="30"/>
      <c r="J126" s="30"/>
      <c r="K126" s="30"/>
      <c r="L126" s="30">
        <v>143.59</v>
      </c>
      <c r="M126" s="30"/>
      <c r="N126" s="30"/>
      <c r="O126" s="30"/>
      <c r="P126" s="30"/>
      <c r="Q126" s="30"/>
      <c r="R126" t="s">
        <v>68</v>
      </c>
    </row>
    <row r="127" spans="1:18" x14ac:dyDescent="0.25">
      <c r="A127" s="36" t="s">
        <v>290</v>
      </c>
      <c r="B127" t="s">
        <v>295</v>
      </c>
      <c r="C127" t="s">
        <v>35</v>
      </c>
      <c r="D127" t="s">
        <v>296</v>
      </c>
      <c r="E127" s="30"/>
      <c r="F127" s="31"/>
      <c r="G127" s="30"/>
      <c r="H127" s="30"/>
      <c r="I127" s="30"/>
      <c r="J127" s="30"/>
      <c r="K127" s="30"/>
      <c r="L127" s="30">
        <v>67.88</v>
      </c>
      <c r="M127" s="30"/>
      <c r="N127" s="30"/>
      <c r="O127" s="30"/>
      <c r="P127" s="30"/>
      <c r="Q127" s="30"/>
      <c r="R127" t="s">
        <v>68</v>
      </c>
    </row>
    <row r="128" spans="1:18" x14ac:dyDescent="0.25">
      <c r="A128" s="36" t="s">
        <v>290</v>
      </c>
      <c r="B128" t="s">
        <v>297</v>
      </c>
      <c r="C128" t="s">
        <v>35</v>
      </c>
      <c r="D128" t="s">
        <v>298</v>
      </c>
      <c r="E128" s="30"/>
      <c r="F128" s="31"/>
      <c r="G128" s="30"/>
      <c r="H128" s="30"/>
      <c r="I128" s="30">
        <v>76.36</v>
      </c>
      <c r="J128" s="30"/>
      <c r="K128" s="30"/>
      <c r="L128" s="30"/>
      <c r="M128" s="30"/>
      <c r="N128" s="30"/>
      <c r="O128" s="30"/>
      <c r="P128" s="30"/>
      <c r="Q128" s="30"/>
      <c r="R128" t="s">
        <v>68</v>
      </c>
    </row>
    <row r="129" spans="1:18" x14ac:dyDescent="0.25">
      <c r="A129" s="36" t="s">
        <v>290</v>
      </c>
      <c r="B129" t="s">
        <v>299</v>
      </c>
      <c r="C129" t="s">
        <v>35</v>
      </c>
      <c r="D129" t="s">
        <v>300</v>
      </c>
      <c r="E129" s="30"/>
      <c r="F129" s="31"/>
      <c r="G129" s="30"/>
      <c r="H129" s="30"/>
      <c r="I129" s="30">
        <v>549.4</v>
      </c>
      <c r="J129" s="30"/>
      <c r="K129" s="30"/>
      <c r="L129" s="30"/>
      <c r="M129" s="30"/>
      <c r="N129" s="30"/>
      <c r="O129" s="30"/>
      <c r="P129" s="30"/>
      <c r="Q129" s="30"/>
      <c r="R129" t="s">
        <v>68</v>
      </c>
    </row>
    <row r="130" spans="1:18" x14ac:dyDescent="0.25">
      <c r="A130" s="36" t="s">
        <v>290</v>
      </c>
      <c r="B130" t="s">
        <v>301</v>
      </c>
      <c r="C130" t="s">
        <v>35</v>
      </c>
      <c r="D130" t="s">
        <v>302</v>
      </c>
      <c r="E130" s="30"/>
      <c r="F130" s="31"/>
      <c r="G130" s="30"/>
      <c r="H130" s="30"/>
      <c r="I130" s="30"/>
      <c r="J130" s="30"/>
      <c r="K130" s="30"/>
      <c r="L130" s="30">
        <v>543.16</v>
      </c>
      <c r="M130" s="30"/>
      <c r="N130" s="30"/>
      <c r="O130" s="30"/>
      <c r="P130" s="30"/>
      <c r="Q130" s="30"/>
      <c r="R130" t="s">
        <v>68</v>
      </c>
    </row>
    <row r="131" spans="1:18" x14ac:dyDescent="0.25">
      <c r="A131" s="36" t="s">
        <v>290</v>
      </c>
      <c r="B131" t="s">
        <v>303</v>
      </c>
      <c r="C131" t="s">
        <v>35</v>
      </c>
      <c r="D131" t="s">
        <v>304</v>
      </c>
      <c r="E131" s="30"/>
      <c r="F131" s="31"/>
      <c r="G131" s="30"/>
      <c r="H131" s="30"/>
      <c r="I131" s="30">
        <v>166.23</v>
      </c>
      <c r="J131" s="30"/>
      <c r="K131" s="30"/>
      <c r="L131" s="30"/>
      <c r="M131" s="30"/>
      <c r="N131" s="30"/>
      <c r="O131" s="30"/>
      <c r="P131" s="30"/>
      <c r="Q131" s="30"/>
      <c r="R131" t="s">
        <v>68</v>
      </c>
    </row>
    <row r="132" spans="1:18" x14ac:dyDescent="0.25">
      <c r="A132" s="36" t="s">
        <v>290</v>
      </c>
      <c r="B132" t="s">
        <v>305</v>
      </c>
      <c r="C132" t="s">
        <v>35</v>
      </c>
      <c r="D132" t="s">
        <v>306</v>
      </c>
      <c r="E132" s="30"/>
      <c r="F132" s="31"/>
      <c r="G132" s="30"/>
      <c r="H132" s="30"/>
      <c r="I132" s="30"/>
      <c r="J132" s="30"/>
      <c r="K132" s="30"/>
      <c r="L132" s="30">
        <v>175</v>
      </c>
      <c r="M132" s="30"/>
      <c r="N132" s="30"/>
      <c r="O132" s="30"/>
      <c r="P132" s="30"/>
      <c r="Q132" s="30"/>
      <c r="R132" t="s">
        <v>68</v>
      </c>
    </row>
    <row r="133" spans="1:18" x14ac:dyDescent="0.25">
      <c r="A133" s="36" t="s">
        <v>290</v>
      </c>
      <c r="B133" t="s">
        <v>307</v>
      </c>
      <c r="C133" t="s">
        <v>37</v>
      </c>
      <c r="D133" t="s">
        <v>308</v>
      </c>
      <c r="E133" s="30"/>
      <c r="F133" s="31"/>
      <c r="G133" s="30"/>
      <c r="H133" s="30"/>
      <c r="I133" s="30">
        <v>82.62</v>
      </c>
      <c r="J133" s="30"/>
      <c r="K133" s="30"/>
      <c r="L133" s="30"/>
      <c r="M133" s="30"/>
      <c r="N133" s="30"/>
      <c r="O133" s="30"/>
      <c r="P133" s="30"/>
      <c r="Q133" s="30"/>
      <c r="R133" t="s">
        <v>68</v>
      </c>
    </row>
    <row r="134" spans="1:18" x14ac:dyDescent="0.25">
      <c r="A134" s="36" t="s">
        <v>290</v>
      </c>
      <c r="B134" t="s">
        <v>309</v>
      </c>
      <c r="C134" t="s">
        <v>37</v>
      </c>
      <c r="D134" t="s">
        <v>310</v>
      </c>
      <c r="E134" s="30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>
        <v>223.43</v>
      </c>
      <c r="R134" t="s">
        <v>68</v>
      </c>
    </row>
    <row r="135" spans="1:18" x14ac:dyDescent="0.25">
      <c r="A135" s="36" t="s">
        <v>311</v>
      </c>
      <c r="B135" t="s">
        <v>312</v>
      </c>
      <c r="C135" t="s">
        <v>38</v>
      </c>
      <c r="D135" t="s">
        <v>287</v>
      </c>
      <c r="E135" s="30"/>
      <c r="F135" s="31">
        <v>152.62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t="s">
        <v>47</v>
      </c>
    </row>
    <row r="136" spans="1:18" x14ac:dyDescent="0.25">
      <c r="A136" s="36" t="s">
        <v>313</v>
      </c>
      <c r="B136" t="s">
        <v>314</v>
      </c>
      <c r="C136" t="s">
        <v>35</v>
      </c>
      <c r="D136" t="s">
        <v>315</v>
      </c>
      <c r="E136" s="30"/>
      <c r="F136" s="31"/>
      <c r="G136" s="30"/>
      <c r="H136" s="30"/>
      <c r="I136" s="30"/>
      <c r="J136" s="30"/>
      <c r="K136" s="30"/>
      <c r="L136" s="30">
        <v>34.51</v>
      </c>
      <c r="M136" s="30"/>
      <c r="N136" s="30"/>
      <c r="O136" s="30"/>
      <c r="P136" s="30"/>
      <c r="Q136" s="30"/>
      <c r="R136" t="s">
        <v>68</v>
      </c>
    </row>
    <row r="137" spans="1:18" x14ac:dyDescent="0.25">
      <c r="A137" s="36" t="s">
        <v>313</v>
      </c>
      <c r="B137" t="s">
        <v>316</v>
      </c>
      <c r="C137" t="s">
        <v>35</v>
      </c>
      <c r="D137" t="s">
        <v>317</v>
      </c>
      <c r="E137" s="30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>
        <v>128.4</v>
      </c>
      <c r="R137" t="s">
        <v>68</v>
      </c>
    </row>
    <row r="138" spans="1:18" x14ac:dyDescent="0.25">
      <c r="A138" s="36" t="s">
        <v>313</v>
      </c>
      <c r="B138" t="s">
        <v>318</v>
      </c>
      <c r="C138" t="s">
        <v>35</v>
      </c>
      <c r="D138" t="s">
        <v>319</v>
      </c>
      <c r="E138" s="30"/>
      <c r="F138" s="31"/>
      <c r="G138" s="30"/>
      <c r="H138" s="30"/>
      <c r="I138" s="30">
        <v>107.74</v>
      </c>
      <c r="J138" s="30"/>
      <c r="K138" s="30"/>
      <c r="L138" s="30"/>
      <c r="M138" s="30"/>
      <c r="N138" s="30"/>
      <c r="O138" s="30"/>
      <c r="P138" s="30"/>
      <c r="Q138" s="30"/>
      <c r="R138" t="s">
        <v>68</v>
      </c>
    </row>
    <row r="139" spans="1:18" x14ac:dyDescent="0.25">
      <c r="A139" s="36" t="s">
        <v>313</v>
      </c>
      <c r="B139" t="s">
        <v>320</v>
      </c>
      <c r="C139" t="s">
        <v>35</v>
      </c>
      <c r="D139" t="s">
        <v>321</v>
      </c>
      <c r="E139" s="30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>
        <v>104.9</v>
      </c>
      <c r="R139" t="s">
        <v>68</v>
      </c>
    </row>
    <row r="140" spans="1:18" x14ac:dyDescent="0.25">
      <c r="A140" s="36" t="s">
        <v>313</v>
      </c>
      <c r="B140" t="s">
        <v>322</v>
      </c>
      <c r="C140" t="s">
        <v>35</v>
      </c>
      <c r="D140" t="s">
        <v>323</v>
      </c>
      <c r="E140" s="30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>
        <v>114.53</v>
      </c>
      <c r="R140" t="s">
        <v>68</v>
      </c>
    </row>
    <row r="141" spans="1:18" x14ac:dyDescent="0.25">
      <c r="A141" s="36" t="s">
        <v>313</v>
      </c>
      <c r="B141" t="s">
        <v>324</v>
      </c>
      <c r="C141" t="s">
        <v>39</v>
      </c>
      <c r="D141" t="s">
        <v>325</v>
      </c>
      <c r="E141" s="30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>
        <v>42.13</v>
      </c>
      <c r="R141" t="s">
        <v>68</v>
      </c>
    </row>
    <row r="142" spans="1:18" x14ac:dyDescent="0.25">
      <c r="A142" s="36" t="s">
        <v>326</v>
      </c>
      <c r="B142" t="s">
        <v>327</v>
      </c>
      <c r="C142" t="s">
        <v>35</v>
      </c>
      <c r="D142" t="s">
        <v>328</v>
      </c>
      <c r="E142" s="30"/>
      <c r="F142" s="31"/>
      <c r="G142" s="30"/>
      <c r="H142" s="30"/>
      <c r="I142" s="30"/>
      <c r="J142" s="30"/>
      <c r="K142" s="30"/>
      <c r="L142" s="30">
        <v>69.19</v>
      </c>
      <c r="M142" s="30"/>
      <c r="N142" s="30"/>
      <c r="O142" s="30"/>
      <c r="P142" s="30"/>
      <c r="Q142" s="30"/>
      <c r="R142" t="s">
        <v>68</v>
      </c>
    </row>
    <row r="143" spans="1:18" x14ac:dyDescent="0.25">
      <c r="A143" s="36" t="s">
        <v>326</v>
      </c>
      <c r="B143" t="s">
        <v>329</v>
      </c>
      <c r="C143" t="s">
        <v>35</v>
      </c>
      <c r="D143" t="s">
        <v>330</v>
      </c>
      <c r="E143" s="30"/>
      <c r="F143" s="31"/>
      <c r="G143" s="30"/>
      <c r="H143" s="30"/>
      <c r="I143" s="30">
        <v>104.02</v>
      </c>
      <c r="J143" s="30"/>
      <c r="K143" s="30"/>
      <c r="L143" s="30"/>
      <c r="M143" s="30"/>
      <c r="N143" s="30"/>
      <c r="O143" s="30"/>
      <c r="P143" s="30"/>
      <c r="Q143" s="30"/>
      <c r="R143" t="s">
        <v>68</v>
      </c>
    </row>
    <row r="144" spans="1:18" x14ac:dyDescent="0.25">
      <c r="A144" s="36" t="s">
        <v>326</v>
      </c>
      <c r="B144" t="s">
        <v>331</v>
      </c>
      <c r="C144" t="s">
        <v>35</v>
      </c>
      <c r="D144" t="s">
        <v>332</v>
      </c>
      <c r="E144" s="30"/>
      <c r="F144" s="31"/>
      <c r="G144" s="30"/>
      <c r="H144" s="30"/>
      <c r="I144" s="30"/>
      <c r="J144" s="30"/>
      <c r="K144" s="30"/>
      <c r="L144" s="30">
        <v>102.32</v>
      </c>
      <c r="M144" s="30"/>
      <c r="N144" s="30"/>
      <c r="O144" s="30"/>
      <c r="P144" s="30"/>
      <c r="Q144" s="30"/>
      <c r="R144" t="s">
        <v>68</v>
      </c>
    </row>
    <row r="145" spans="1:18" x14ac:dyDescent="0.25">
      <c r="A145" s="36" t="s">
        <v>326</v>
      </c>
      <c r="B145" t="s">
        <v>333</v>
      </c>
      <c r="C145" t="s">
        <v>39</v>
      </c>
      <c r="D145" t="s">
        <v>334</v>
      </c>
      <c r="E145" s="30"/>
      <c r="F145" s="31"/>
      <c r="G145" s="30"/>
      <c r="H145" s="30"/>
      <c r="I145" s="30"/>
      <c r="J145" s="30"/>
      <c r="K145" s="30"/>
      <c r="L145" s="30"/>
      <c r="M145" s="30">
        <v>267.33</v>
      </c>
      <c r="N145" s="30"/>
      <c r="O145" s="30"/>
      <c r="P145" s="30"/>
      <c r="Q145" s="30"/>
      <c r="R145" t="s">
        <v>68</v>
      </c>
    </row>
    <row r="146" spans="1:18" x14ac:dyDescent="0.25">
      <c r="A146" s="36" t="s">
        <v>326</v>
      </c>
      <c r="B146" t="s">
        <v>335</v>
      </c>
      <c r="C146" t="s">
        <v>39</v>
      </c>
      <c r="D146" t="s">
        <v>336</v>
      </c>
      <c r="E146" s="30"/>
      <c r="F146" s="31"/>
      <c r="G146" s="30"/>
      <c r="H146" s="30"/>
      <c r="I146" s="30"/>
      <c r="J146" s="30"/>
      <c r="K146" s="30"/>
      <c r="L146" s="30"/>
      <c r="M146" s="30"/>
      <c r="N146" s="30"/>
      <c r="O146" s="30">
        <v>268.18</v>
      </c>
      <c r="P146" s="30"/>
      <c r="Q146" s="30"/>
      <c r="R146" t="s">
        <v>68</v>
      </c>
    </row>
    <row r="147" spans="1:18" x14ac:dyDescent="0.25">
      <c r="A147" s="36" t="s">
        <v>326</v>
      </c>
      <c r="B147" t="s">
        <v>337</v>
      </c>
      <c r="C147" t="s">
        <v>39</v>
      </c>
      <c r="D147" t="s">
        <v>338</v>
      </c>
      <c r="E147" s="30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>
        <v>255.55</v>
      </c>
      <c r="Q147" s="30"/>
      <c r="R147" t="s">
        <v>68</v>
      </c>
    </row>
    <row r="148" spans="1:18" x14ac:dyDescent="0.25">
      <c r="A148" s="36" t="s">
        <v>326</v>
      </c>
      <c r="B148" t="s">
        <v>339</v>
      </c>
      <c r="C148" t="s">
        <v>39</v>
      </c>
      <c r="D148" t="s">
        <v>340</v>
      </c>
      <c r="E148" s="30"/>
      <c r="F148" s="31"/>
      <c r="G148" s="30"/>
      <c r="H148" s="30"/>
      <c r="I148" s="30"/>
      <c r="J148" s="30"/>
      <c r="K148" s="30"/>
      <c r="L148" s="30"/>
      <c r="M148" s="30"/>
      <c r="N148" s="30">
        <v>267.61</v>
      </c>
      <c r="O148" s="30"/>
      <c r="P148" s="30"/>
      <c r="Q148" s="30"/>
      <c r="R148" t="s">
        <v>68</v>
      </c>
    </row>
    <row r="149" spans="1:18" x14ac:dyDescent="0.25">
      <c r="A149" s="36" t="s">
        <v>326</v>
      </c>
      <c r="B149" t="s">
        <v>341</v>
      </c>
      <c r="C149" t="s">
        <v>39</v>
      </c>
      <c r="D149" t="s">
        <v>342</v>
      </c>
      <c r="I149" s="30"/>
      <c r="J149" s="30">
        <v>194.02</v>
      </c>
      <c r="K149" s="30"/>
      <c r="L149" s="30"/>
      <c r="M149" s="30"/>
      <c r="N149" s="30"/>
      <c r="O149" s="30"/>
      <c r="P149" s="30"/>
      <c r="R149" t="s">
        <v>68</v>
      </c>
    </row>
    <row r="150" spans="1:18" x14ac:dyDescent="0.25">
      <c r="A150" s="36" t="s">
        <v>343</v>
      </c>
      <c r="B150" t="s">
        <v>344</v>
      </c>
      <c r="C150" t="s">
        <v>34</v>
      </c>
      <c r="D150" t="s">
        <v>287</v>
      </c>
      <c r="F150" s="31">
        <v>670.6</v>
      </c>
      <c r="I150" s="30"/>
      <c r="J150" s="30"/>
      <c r="K150" s="30"/>
      <c r="L150" s="30"/>
      <c r="M150" s="30"/>
      <c r="N150" s="30"/>
      <c r="O150" s="30"/>
      <c r="P150" s="30"/>
      <c r="R150" t="s">
        <v>47</v>
      </c>
    </row>
    <row r="151" spans="1:18" x14ac:dyDescent="0.25">
      <c r="A151" s="36" t="s">
        <v>343</v>
      </c>
      <c r="B151" t="s">
        <v>344</v>
      </c>
      <c r="C151" t="s">
        <v>34</v>
      </c>
      <c r="D151" t="s">
        <v>287</v>
      </c>
      <c r="F151" s="30">
        <v>626.54</v>
      </c>
      <c r="I151" s="30"/>
      <c r="J151" s="30"/>
      <c r="K151" s="30"/>
      <c r="L151" s="30"/>
      <c r="M151" s="30"/>
      <c r="N151" s="30"/>
      <c r="O151" s="30"/>
      <c r="P151" s="30"/>
      <c r="R151" t="s">
        <v>47</v>
      </c>
    </row>
    <row r="152" spans="1:18" x14ac:dyDescent="0.25">
      <c r="A152" s="36" t="s">
        <v>343</v>
      </c>
      <c r="B152" t="s">
        <v>345</v>
      </c>
      <c r="C152" t="s">
        <v>38</v>
      </c>
      <c r="D152" t="s">
        <v>287</v>
      </c>
      <c r="F152" s="31">
        <v>288.05</v>
      </c>
      <c r="I152" s="30"/>
      <c r="J152" s="30"/>
      <c r="K152" s="30"/>
      <c r="L152" s="30"/>
      <c r="M152" s="30"/>
      <c r="N152" s="30"/>
      <c r="O152" s="30"/>
      <c r="P152" s="30"/>
      <c r="R152" t="s">
        <v>47</v>
      </c>
    </row>
    <row r="153" spans="1:18" x14ac:dyDescent="0.25">
      <c r="A153" s="36" t="s">
        <v>346</v>
      </c>
      <c r="B153" t="s">
        <v>347</v>
      </c>
      <c r="C153" t="s">
        <v>35</v>
      </c>
      <c r="D153" t="s">
        <v>348</v>
      </c>
      <c r="I153" s="30"/>
      <c r="J153" s="30"/>
      <c r="K153" s="30"/>
      <c r="L153" s="30">
        <v>595.80999999999995</v>
      </c>
      <c r="M153" s="30"/>
      <c r="N153" s="30"/>
      <c r="O153" s="30"/>
      <c r="P153" s="30"/>
      <c r="R153" t="s">
        <v>68</v>
      </c>
    </row>
    <row r="154" spans="1:18" x14ac:dyDescent="0.25">
      <c r="A154" s="36" t="s">
        <v>346</v>
      </c>
      <c r="B154" t="s">
        <v>349</v>
      </c>
      <c r="C154" t="s">
        <v>35</v>
      </c>
      <c r="D154" t="s">
        <v>350</v>
      </c>
      <c r="I154" s="30"/>
      <c r="J154" s="30"/>
      <c r="K154" s="30"/>
      <c r="L154" s="30">
        <v>34.51</v>
      </c>
      <c r="M154" s="30"/>
      <c r="N154" s="30"/>
      <c r="O154" s="30"/>
      <c r="P154" s="30"/>
      <c r="R154" t="s">
        <v>68</v>
      </c>
    </row>
    <row r="155" spans="1:18" x14ac:dyDescent="0.25">
      <c r="A155" s="36" t="s">
        <v>346</v>
      </c>
      <c r="B155" t="s">
        <v>351</v>
      </c>
      <c r="C155" t="s">
        <v>35</v>
      </c>
      <c r="D155" t="s">
        <v>352</v>
      </c>
      <c r="I155" s="30"/>
      <c r="J155" s="30"/>
      <c r="K155" s="30"/>
      <c r="L155" s="30">
        <v>65.7</v>
      </c>
      <c r="M155" s="30"/>
      <c r="N155" s="30"/>
      <c r="O155" s="30"/>
      <c r="P155" s="30"/>
      <c r="R155" t="s">
        <v>68</v>
      </c>
    </row>
    <row r="156" spans="1:18" x14ac:dyDescent="0.25">
      <c r="A156" s="36" t="s">
        <v>346</v>
      </c>
      <c r="B156" t="s">
        <v>353</v>
      </c>
      <c r="C156" t="s">
        <v>35</v>
      </c>
      <c r="D156" t="s">
        <v>354</v>
      </c>
      <c r="I156" s="30"/>
      <c r="J156" s="30"/>
      <c r="K156" s="30"/>
      <c r="L156" s="30">
        <v>119.11</v>
      </c>
      <c r="M156" s="30"/>
      <c r="N156" s="30"/>
      <c r="O156" s="30"/>
      <c r="P156" s="30"/>
      <c r="R156" t="s">
        <v>68</v>
      </c>
    </row>
    <row r="157" spans="1:18" x14ac:dyDescent="0.25">
      <c r="A157" s="36" t="s">
        <v>346</v>
      </c>
      <c r="B157" t="s">
        <v>355</v>
      </c>
      <c r="C157" t="s">
        <v>35</v>
      </c>
      <c r="D157" t="s">
        <v>356</v>
      </c>
      <c r="I157" s="30">
        <v>102.21</v>
      </c>
      <c r="J157" s="30"/>
      <c r="K157" s="30"/>
      <c r="L157" s="30"/>
      <c r="M157" s="30"/>
      <c r="N157" s="30"/>
      <c r="O157" s="30"/>
      <c r="P157" s="30"/>
      <c r="R157" t="s">
        <v>68</v>
      </c>
    </row>
    <row r="158" spans="1:18" x14ac:dyDescent="0.25">
      <c r="A158" s="36" t="s">
        <v>346</v>
      </c>
      <c r="B158" t="s">
        <v>357</v>
      </c>
      <c r="C158" t="s">
        <v>35</v>
      </c>
      <c r="D158" t="s">
        <v>358</v>
      </c>
      <c r="I158" s="30"/>
      <c r="J158" s="30"/>
      <c r="K158" s="30"/>
      <c r="L158" s="30">
        <v>115.37</v>
      </c>
      <c r="M158" s="30"/>
      <c r="N158" s="30"/>
      <c r="O158" s="30"/>
      <c r="P158" s="30"/>
      <c r="R158" t="s">
        <v>68</v>
      </c>
    </row>
    <row r="159" spans="1:18" x14ac:dyDescent="0.25">
      <c r="A159" s="36" t="s">
        <v>346</v>
      </c>
      <c r="B159" t="s">
        <v>359</v>
      </c>
      <c r="C159" t="s">
        <v>35</v>
      </c>
      <c r="D159" t="s">
        <v>360</v>
      </c>
      <c r="I159" s="30">
        <v>96.53</v>
      </c>
      <c r="J159" s="30"/>
      <c r="K159" s="30"/>
      <c r="L159" s="30"/>
      <c r="M159" s="30"/>
      <c r="N159" s="30"/>
      <c r="O159" s="30"/>
      <c r="P159" s="30"/>
      <c r="R159" t="s">
        <v>68</v>
      </c>
    </row>
    <row r="160" spans="1:18" x14ac:dyDescent="0.25">
      <c r="A160" s="36" t="s">
        <v>346</v>
      </c>
      <c r="B160" t="s">
        <v>361</v>
      </c>
      <c r="C160" t="s">
        <v>35</v>
      </c>
      <c r="D160" t="s">
        <v>362</v>
      </c>
      <c r="I160" s="30">
        <v>91.98</v>
      </c>
      <c r="J160" s="30"/>
      <c r="K160" s="30"/>
      <c r="L160" s="30"/>
      <c r="M160" s="30"/>
      <c r="N160" s="30"/>
      <c r="O160" s="30"/>
      <c r="P160" s="30"/>
      <c r="R160" t="s">
        <v>68</v>
      </c>
    </row>
    <row r="161" spans="1:18" x14ac:dyDescent="0.25">
      <c r="A161" s="36" t="s">
        <v>346</v>
      </c>
      <c r="B161" t="s">
        <v>363</v>
      </c>
      <c r="C161" t="s">
        <v>35</v>
      </c>
      <c r="D161" t="s">
        <v>364</v>
      </c>
      <c r="I161" s="30"/>
      <c r="J161" s="30"/>
      <c r="K161" s="30"/>
      <c r="L161" s="30">
        <v>34.51</v>
      </c>
      <c r="M161" s="30"/>
      <c r="N161" s="30"/>
      <c r="O161" s="30"/>
      <c r="P161" s="30"/>
      <c r="R161" t="s">
        <v>68</v>
      </c>
    </row>
    <row r="162" spans="1:18" x14ac:dyDescent="0.25">
      <c r="A162" s="36" t="s">
        <v>346</v>
      </c>
      <c r="B162" t="s">
        <v>365</v>
      </c>
      <c r="C162" t="s">
        <v>35</v>
      </c>
      <c r="D162" t="s">
        <v>366</v>
      </c>
      <c r="I162" s="30"/>
      <c r="J162" s="30"/>
      <c r="K162" s="30"/>
      <c r="L162" s="30">
        <v>91.98</v>
      </c>
      <c r="M162" s="30"/>
      <c r="N162" s="30"/>
      <c r="O162" s="30"/>
      <c r="P162" s="30"/>
      <c r="R162" t="s">
        <v>68</v>
      </c>
    </row>
    <row r="163" spans="1:18" x14ac:dyDescent="0.25">
      <c r="A163" s="36" t="s">
        <v>346</v>
      </c>
      <c r="B163" t="s">
        <v>367</v>
      </c>
      <c r="C163" t="s">
        <v>35</v>
      </c>
      <c r="D163" t="s">
        <v>368</v>
      </c>
      <c r="I163" s="30"/>
      <c r="J163" s="30"/>
      <c r="K163" s="30"/>
      <c r="L163" s="30">
        <v>112.68</v>
      </c>
      <c r="M163" s="30"/>
      <c r="N163" s="30"/>
      <c r="O163" s="30"/>
      <c r="P163" s="30"/>
      <c r="R163" t="s">
        <v>68</v>
      </c>
    </row>
    <row r="164" spans="1:18" x14ac:dyDescent="0.25">
      <c r="A164" s="36" t="s">
        <v>346</v>
      </c>
      <c r="B164" t="s">
        <v>369</v>
      </c>
      <c r="C164" t="s">
        <v>35</v>
      </c>
      <c r="D164" t="s">
        <v>370</v>
      </c>
      <c r="I164" s="30"/>
      <c r="J164" s="30"/>
      <c r="K164" s="30"/>
      <c r="L164" s="30">
        <v>271.86</v>
      </c>
      <c r="M164" s="30"/>
      <c r="N164" s="30"/>
      <c r="O164" s="30"/>
      <c r="P164" s="30"/>
      <c r="R164" t="s">
        <v>68</v>
      </c>
    </row>
    <row r="165" spans="1:18" x14ac:dyDescent="0.25">
      <c r="A165" s="36" t="s">
        <v>371</v>
      </c>
      <c r="B165" t="s">
        <v>372</v>
      </c>
      <c r="C165" t="s">
        <v>35</v>
      </c>
      <c r="D165" t="s">
        <v>373</v>
      </c>
      <c r="I165" s="30"/>
      <c r="J165" s="30"/>
      <c r="K165" s="30"/>
      <c r="L165" s="30">
        <v>68.91</v>
      </c>
      <c r="M165" s="30"/>
      <c r="N165" s="30"/>
      <c r="O165" s="30"/>
      <c r="P165" s="30"/>
      <c r="R165" t="s">
        <v>68</v>
      </c>
    </row>
    <row r="166" spans="1:18" x14ac:dyDescent="0.25">
      <c r="A166" s="36" t="s">
        <v>371</v>
      </c>
      <c r="B166" t="s">
        <v>374</v>
      </c>
      <c r="C166" t="s">
        <v>35</v>
      </c>
      <c r="D166" t="s">
        <v>375</v>
      </c>
      <c r="I166" s="30"/>
      <c r="J166" s="30"/>
      <c r="K166" s="30"/>
      <c r="L166" s="30">
        <v>131.53</v>
      </c>
      <c r="M166" s="30"/>
      <c r="N166" s="30"/>
      <c r="O166" s="30"/>
      <c r="P166" s="30"/>
      <c r="R166" t="s">
        <v>68</v>
      </c>
    </row>
    <row r="167" spans="1:18" x14ac:dyDescent="0.25">
      <c r="A167" s="36" t="s">
        <v>371</v>
      </c>
      <c r="B167" t="s">
        <v>376</v>
      </c>
      <c r="C167" t="s">
        <v>35</v>
      </c>
      <c r="D167" t="s">
        <v>377</v>
      </c>
      <c r="I167" s="30"/>
      <c r="J167" s="30"/>
      <c r="K167" s="30"/>
      <c r="L167" s="30">
        <v>34.51</v>
      </c>
      <c r="M167" s="30"/>
      <c r="N167" s="30"/>
      <c r="O167" s="30"/>
      <c r="P167" s="30"/>
      <c r="R167" t="s">
        <v>68</v>
      </c>
    </row>
    <row r="168" spans="1:18" x14ac:dyDescent="0.25">
      <c r="A168" s="36" t="s">
        <v>371</v>
      </c>
      <c r="B168" t="s">
        <v>378</v>
      </c>
      <c r="C168" t="s">
        <v>35</v>
      </c>
      <c r="D168" t="s">
        <v>379</v>
      </c>
      <c r="I168" s="30"/>
      <c r="J168" s="30"/>
      <c r="K168" s="30"/>
      <c r="L168" s="30">
        <v>34.51</v>
      </c>
      <c r="M168" s="30"/>
      <c r="N168" s="30"/>
      <c r="O168" s="30"/>
      <c r="P168" s="30"/>
      <c r="R168" t="s">
        <v>68</v>
      </c>
    </row>
    <row r="169" spans="1:18" x14ac:dyDescent="0.25">
      <c r="A169" s="36" t="s">
        <v>371</v>
      </c>
      <c r="B169" t="s">
        <v>380</v>
      </c>
      <c r="C169" t="s">
        <v>35</v>
      </c>
      <c r="D169" t="s">
        <v>381</v>
      </c>
      <c r="I169" s="30"/>
      <c r="J169" s="30"/>
      <c r="K169" s="30"/>
      <c r="L169" s="30">
        <v>69.02</v>
      </c>
      <c r="M169" s="30"/>
      <c r="N169" s="30"/>
      <c r="O169" s="30"/>
      <c r="P169" s="30"/>
      <c r="R169" t="s">
        <v>68</v>
      </c>
    </row>
    <row r="170" spans="1:18" x14ac:dyDescent="0.25">
      <c r="A170" s="36" t="s">
        <v>382</v>
      </c>
      <c r="B170" t="s">
        <v>383</v>
      </c>
      <c r="C170" t="s">
        <v>38</v>
      </c>
      <c r="D170" t="s">
        <v>287</v>
      </c>
      <c r="H170" s="30">
        <v>1279.51</v>
      </c>
      <c r="I170" s="30"/>
      <c r="J170" s="30"/>
      <c r="K170" s="30"/>
      <c r="L170" s="30"/>
      <c r="M170" s="30"/>
      <c r="N170" s="30"/>
      <c r="O170" s="30"/>
      <c r="P170" s="30"/>
      <c r="R170" t="s">
        <v>220</v>
      </c>
    </row>
    <row r="171" spans="1:18" x14ac:dyDescent="0.25">
      <c r="A171" s="36" t="s">
        <v>384</v>
      </c>
      <c r="B171" t="s">
        <v>385</v>
      </c>
      <c r="C171" t="s">
        <v>34</v>
      </c>
      <c r="D171" t="s">
        <v>287</v>
      </c>
      <c r="F171" s="31">
        <v>824.8</v>
      </c>
      <c r="R171" t="s">
        <v>47</v>
      </c>
    </row>
    <row r="172" spans="1:18" x14ac:dyDescent="0.25">
      <c r="A172" s="36" t="s">
        <v>384</v>
      </c>
      <c r="B172" t="s">
        <v>386</v>
      </c>
      <c r="C172" t="s">
        <v>35</v>
      </c>
      <c r="D172" t="s">
        <v>387</v>
      </c>
      <c r="F172" s="31">
        <v>19.649999999999999</v>
      </c>
      <c r="R172" t="s">
        <v>47</v>
      </c>
    </row>
    <row r="173" spans="1:18" x14ac:dyDescent="0.25">
      <c r="A173" s="36" t="s">
        <v>384</v>
      </c>
      <c r="B173" t="s">
        <v>388</v>
      </c>
      <c r="C173" t="s">
        <v>38</v>
      </c>
      <c r="D173" t="s">
        <v>389</v>
      </c>
      <c r="F173" s="31">
        <v>93.71</v>
      </c>
      <c r="R173" t="s">
        <v>47</v>
      </c>
    </row>
    <row r="174" spans="1:18" x14ac:dyDescent="0.25">
      <c r="A174" s="36" t="s">
        <v>390</v>
      </c>
      <c r="B174" t="s">
        <v>391</v>
      </c>
      <c r="C174" t="s">
        <v>35</v>
      </c>
      <c r="D174" t="s">
        <v>392</v>
      </c>
      <c r="L174" s="30">
        <v>191.28</v>
      </c>
      <c r="R174" t="s">
        <v>68</v>
      </c>
    </row>
    <row r="175" spans="1:18" x14ac:dyDescent="0.25">
      <c r="A175" s="36" t="s">
        <v>390</v>
      </c>
      <c r="B175" t="s">
        <v>393</v>
      </c>
      <c r="C175" t="s">
        <v>35</v>
      </c>
      <c r="D175" t="s">
        <v>394</v>
      </c>
      <c r="L175" s="30">
        <v>432.79</v>
      </c>
      <c r="R175" t="s">
        <v>68</v>
      </c>
    </row>
    <row r="176" spans="1:18" x14ac:dyDescent="0.25">
      <c r="A176" s="36" t="s">
        <v>390</v>
      </c>
      <c r="B176" t="s">
        <v>395</v>
      </c>
      <c r="C176" t="s">
        <v>35</v>
      </c>
      <c r="D176" t="s">
        <v>396</v>
      </c>
      <c r="L176" s="30">
        <v>106.99</v>
      </c>
      <c r="R176" t="s">
        <v>68</v>
      </c>
    </row>
    <row r="177" spans="1:18" x14ac:dyDescent="0.25">
      <c r="A177" s="36" t="s">
        <v>390</v>
      </c>
      <c r="B177" t="s">
        <v>397</v>
      </c>
      <c r="C177" t="s">
        <v>35</v>
      </c>
      <c r="D177" t="s">
        <v>398</v>
      </c>
      <c r="L177" s="30">
        <v>69.02</v>
      </c>
      <c r="R177" t="s">
        <v>68</v>
      </c>
    </row>
    <row r="178" spans="1:18" x14ac:dyDescent="0.25">
      <c r="A178" s="36" t="s">
        <v>390</v>
      </c>
      <c r="B178" t="s">
        <v>399</v>
      </c>
      <c r="C178" t="s">
        <v>35</v>
      </c>
      <c r="D178" t="s">
        <v>400</v>
      </c>
      <c r="L178" s="30">
        <v>69.02</v>
      </c>
      <c r="R178" t="s">
        <v>68</v>
      </c>
    </row>
    <row r="179" spans="1:18" x14ac:dyDescent="0.25">
      <c r="A179" s="36" t="s">
        <v>390</v>
      </c>
      <c r="B179" t="s">
        <v>401</v>
      </c>
      <c r="C179" t="s">
        <v>35</v>
      </c>
      <c r="D179" t="s">
        <v>402</v>
      </c>
      <c r="L179" s="30">
        <v>225.96</v>
      </c>
      <c r="R179" t="s">
        <v>68</v>
      </c>
    </row>
    <row r="180" spans="1:18" x14ac:dyDescent="0.25">
      <c r="A180" s="36" t="s">
        <v>390</v>
      </c>
      <c r="B180" t="s">
        <v>403</v>
      </c>
      <c r="C180" t="s">
        <v>35</v>
      </c>
      <c r="D180" t="s">
        <v>404</v>
      </c>
      <c r="L180" s="30">
        <v>175.17</v>
      </c>
      <c r="R180" t="s">
        <v>68</v>
      </c>
    </row>
    <row r="181" spans="1:18" x14ac:dyDescent="0.25">
      <c r="A181" s="36" t="s">
        <v>405</v>
      </c>
      <c r="B181" t="s">
        <v>406</v>
      </c>
      <c r="C181" s="35" t="s">
        <v>38</v>
      </c>
      <c r="D181" t="s">
        <v>287</v>
      </c>
      <c r="F181" s="31">
        <v>471.98</v>
      </c>
      <c r="R181" t="s">
        <v>47</v>
      </c>
    </row>
    <row r="182" spans="1:18" x14ac:dyDescent="0.25">
      <c r="A182" s="36" t="s">
        <v>405</v>
      </c>
      <c r="B182" t="s">
        <v>407</v>
      </c>
      <c r="C182" t="s">
        <v>34</v>
      </c>
      <c r="D182" t="s">
        <v>287</v>
      </c>
      <c r="F182" s="31">
        <v>358.49</v>
      </c>
      <c r="R182" t="s">
        <v>47</v>
      </c>
    </row>
    <row r="183" spans="1:18" x14ac:dyDescent="0.25">
      <c r="A183" s="36" t="s">
        <v>405</v>
      </c>
      <c r="B183" t="s">
        <v>408</v>
      </c>
      <c r="C183" t="s">
        <v>34</v>
      </c>
      <c r="D183" t="s">
        <v>287</v>
      </c>
      <c r="F183" s="31">
        <v>411.19</v>
      </c>
      <c r="R183" t="s">
        <v>47</v>
      </c>
    </row>
    <row r="184" spans="1:18" x14ac:dyDescent="0.25">
      <c r="A184" s="36" t="s">
        <v>409</v>
      </c>
      <c r="B184" t="s">
        <v>410</v>
      </c>
      <c r="C184" s="35" t="s">
        <v>38</v>
      </c>
      <c r="D184" t="s">
        <v>287</v>
      </c>
      <c r="H184" s="30">
        <v>310.67</v>
      </c>
      <c r="R184" t="s">
        <v>220</v>
      </c>
    </row>
  </sheetData>
  <autoFilter ref="A1:S169" xr:uid="{6BB49AC5-A36C-430C-83D1-DFE057B97C29}"/>
  <pageMargins left="0.7" right="0.7" top="0.78740157499999996" bottom="0.78740157499999996" header="0.3" footer="0.3"/>
  <pageSetup paperSize="9" orientation="portrait" horizontalDpi="1200" verticalDpi="1200" r:id="rId1"/>
  <headerFooter>
    <oddFooter>&amp;C_x000D_&amp;1#&amp;"Aptos"&amp;10&amp;K000000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C02C-F136-436B-A452-DBB72A6E0BC1}">
  <dimension ref="A1:N296"/>
  <sheetViews>
    <sheetView workbookViewId="0">
      <pane ySplit="1" topLeftCell="A17" activePane="bottomLeft" state="frozen"/>
      <selection pane="bottomLeft" activeCell="K26" sqref="K26"/>
    </sheetView>
  </sheetViews>
  <sheetFormatPr baseColWidth="10" defaultColWidth="11.42578125" defaultRowHeight="15" x14ac:dyDescent="0.25"/>
  <cols>
    <col min="1" max="1" width="20" customWidth="1"/>
    <col min="2" max="2" width="25" customWidth="1"/>
    <col min="3" max="3" width="19.28515625" customWidth="1"/>
    <col min="4" max="4" width="56.5703125" customWidth="1"/>
  </cols>
  <sheetData>
    <row r="1" spans="1:14" x14ac:dyDescent="0.25">
      <c r="A1" t="s">
        <v>41</v>
      </c>
      <c r="B1" s="1" t="s">
        <v>411</v>
      </c>
      <c r="C1" s="1" t="s">
        <v>42</v>
      </c>
      <c r="D1" s="1" t="s">
        <v>43</v>
      </c>
      <c r="E1" s="7" t="s">
        <v>22</v>
      </c>
      <c r="F1" s="7" t="s">
        <v>26</v>
      </c>
      <c r="G1" s="7" t="s">
        <v>23</v>
      </c>
      <c r="H1" s="7" t="s">
        <v>27</v>
      </c>
      <c r="I1" s="7" t="s">
        <v>29</v>
      </c>
      <c r="J1" s="7" t="s">
        <v>30</v>
      </c>
      <c r="K1" s="7" t="s">
        <v>33</v>
      </c>
      <c r="L1" s="7" t="s">
        <v>31</v>
      </c>
      <c r="M1" s="1" t="s">
        <v>44</v>
      </c>
      <c r="N1" s="1" t="s">
        <v>40</v>
      </c>
    </row>
    <row r="2" spans="1:14" x14ac:dyDescent="0.25">
      <c r="A2" s="2">
        <v>45681</v>
      </c>
      <c r="B2" t="s">
        <v>35</v>
      </c>
      <c r="C2" t="s">
        <v>412</v>
      </c>
      <c r="D2" t="s">
        <v>413</v>
      </c>
      <c r="E2" s="5"/>
      <c r="F2" s="5"/>
      <c r="G2" s="5"/>
      <c r="H2" s="5"/>
      <c r="I2" s="5">
        <v>276.76</v>
      </c>
      <c r="J2" s="5"/>
      <c r="K2" s="5"/>
      <c r="L2" s="5"/>
      <c r="M2" t="s">
        <v>68</v>
      </c>
    </row>
    <row r="3" spans="1:14" x14ac:dyDescent="0.25">
      <c r="A3" s="2">
        <v>45681</v>
      </c>
      <c r="B3" t="s">
        <v>35</v>
      </c>
      <c r="C3" t="s">
        <v>414</v>
      </c>
      <c r="D3" t="s">
        <v>415</v>
      </c>
      <c r="E3" s="5"/>
      <c r="F3" s="5"/>
      <c r="G3" s="5"/>
      <c r="H3" s="5"/>
      <c r="I3" s="5">
        <v>223.93</v>
      </c>
      <c r="J3" s="5"/>
      <c r="K3" s="5"/>
      <c r="L3" s="5"/>
      <c r="M3" t="s">
        <v>68</v>
      </c>
    </row>
    <row r="4" spans="1:14" x14ac:dyDescent="0.25">
      <c r="A4" s="2">
        <v>45681</v>
      </c>
      <c r="B4" t="s">
        <v>35</v>
      </c>
      <c r="C4" t="s">
        <v>416</v>
      </c>
      <c r="D4" t="s">
        <v>417</v>
      </c>
      <c r="E4" s="5"/>
      <c r="F4" s="5"/>
      <c r="G4" s="5"/>
      <c r="H4" s="5"/>
      <c r="I4" s="5">
        <v>138.87</v>
      </c>
      <c r="J4" s="5"/>
      <c r="K4" s="5"/>
      <c r="L4" s="5"/>
      <c r="M4" t="s">
        <v>68</v>
      </c>
    </row>
    <row r="5" spans="1:14" x14ac:dyDescent="0.25">
      <c r="A5" s="2">
        <v>45681</v>
      </c>
      <c r="B5" t="s">
        <v>35</v>
      </c>
      <c r="C5" t="s">
        <v>418</v>
      </c>
      <c r="D5" t="s">
        <v>419</v>
      </c>
      <c r="E5" s="5"/>
      <c r="F5" s="5"/>
      <c r="G5" s="5"/>
      <c r="H5" s="5"/>
      <c r="I5" s="5">
        <v>34.51</v>
      </c>
      <c r="J5" s="5"/>
      <c r="K5" s="5"/>
      <c r="L5" s="5"/>
      <c r="M5" t="s">
        <v>68</v>
      </c>
    </row>
    <row r="6" spans="1:14" x14ac:dyDescent="0.25">
      <c r="A6" s="2">
        <v>45681</v>
      </c>
      <c r="B6" t="s">
        <v>39</v>
      </c>
      <c r="C6" t="s">
        <v>420</v>
      </c>
      <c r="D6" t="s">
        <v>421</v>
      </c>
      <c r="E6" s="5"/>
      <c r="F6" s="5"/>
      <c r="G6" s="5"/>
      <c r="H6" s="5"/>
      <c r="I6" s="5"/>
      <c r="J6" s="5">
        <v>97.95</v>
      </c>
      <c r="K6" s="5"/>
      <c r="L6" s="5"/>
      <c r="M6" t="s">
        <v>68</v>
      </c>
    </row>
    <row r="7" spans="1:14" x14ac:dyDescent="0.25">
      <c r="A7" s="2">
        <v>45681</v>
      </c>
      <c r="C7" t="s">
        <v>422</v>
      </c>
      <c r="D7" t="s">
        <v>423</v>
      </c>
      <c r="E7" s="5"/>
      <c r="F7" s="5"/>
      <c r="G7" s="5"/>
      <c r="H7" s="5"/>
      <c r="I7" s="5">
        <v>94.33</v>
      </c>
      <c r="J7" s="5"/>
      <c r="K7" s="5"/>
      <c r="L7" s="5"/>
      <c r="M7" t="s">
        <v>68</v>
      </c>
    </row>
    <row r="8" spans="1:14" x14ac:dyDescent="0.25">
      <c r="A8" s="2">
        <v>45681</v>
      </c>
      <c r="B8" t="s">
        <v>35</v>
      </c>
      <c r="C8" t="s">
        <v>424</v>
      </c>
      <c r="D8" t="s">
        <v>425</v>
      </c>
      <c r="E8" s="5"/>
      <c r="F8" s="5"/>
      <c r="G8" s="5"/>
      <c r="H8" s="5"/>
      <c r="I8" s="5">
        <v>515.66</v>
      </c>
      <c r="J8" s="5"/>
      <c r="K8" s="5"/>
      <c r="L8" s="5"/>
      <c r="M8" t="s">
        <v>68</v>
      </c>
    </row>
    <row r="9" spans="1:14" x14ac:dyDescent="0.25">
      <c r="A9" s="2">
        <v>45681</v>
      </c>
      <c r="C9" t="s">
        <v>426</v>
      </c>
      <c r="D9" t="s">
        <v>427</v>
      </c>
      <c r="E9" s="5"/>
      <c r="F9" s="5"/>
      <c r="G9" s="5"/>
      <c r="H9" s="5"/>
      <c r="I9" s="5">
        <v>34.51</v>
      </c>
      <c r="J9" s="5"/>
      <c r="K9" s="5"/>
      <c r="L9" s="5"/>
      <c r="M9" t="s">
        <v>68</v>
      </c>
    </row>
    <row r="10" spans="1:14" x14ac:dyDescent="0.25">
      <c r="A10" s="2">
        <v>45728</v>
      </c>
      <c r="C10" t="s">
        <v>428</v>
      </c>
      <c r="D10" t="s">
        <v>429</v>
      </c>
      <c r="E10" s="5"/>
      <c r="F10" s="5"/>
      <c r="G10" s="5"/>
      <c r="H10" s="5"/>
      <c r="I10" s="5">
        <v>34.51</v>
      </c>
      <c r="J10" s="5"/>
      <c r="K10" s="5"/>
      <c r="L10" s="5"/>
      <c r="M10" t="s">
        <v>68</v>
      </c>
    </row>
    <row r="11" spans="1:14" x14ac:dyDescent="0.25">
      <c r="A11" s="2">
        <v>45728</v>
      </c>
      <c r="B11" t="s">
        <v>35</v>
      </c>
      <c r="C11" t="s">
        <v>430</v>
      </c>
      <c r="D11" t="s">
        <v>431</v>
      </c>
      <c r="E11" s="5"/>
      <c r="F11" s="5"/>
      <c r="G11" s="5"/>
      <c r="H11" s="5"/>
      <c r="I11" s="5">
        <v>480.69</v>
      </c>
      <c r="J11" s="5"/>
      <c r="K11" s="5"/>
      <c r="L11" s="5"/>
      <c r="M11" t="s">
        <v>68</v>
      </c>
    </row>
    <row r="12" spans="1:14" x14ac:dyDescent="0.25">
      <c r="A12" s="2">
        <v>45728</v>
      </c>
      <c r="B12" t="s">
        <v>35</v>
      </c>
      <c r="C12" t="s">
        <v>432</v>
      </c>
      <c r="D12" t="s">
        <v>431</v>
      </c>
      <c r="E12" s="5"/>
      <c r="F12" s="5"/>
      <c r="G12" s="5"/>
      <c r="H12" s="5"/>
      <c r="I12" s="5">
        <v>69.02</v>
      </c>
      <c r="J12" s="5"/>
      <c r="K12" s="5"/>
      <c r="L12" s="5"/>
      <c r="M12" t="s">
        <v>68</v>
      </c>
    </row>
    <row r="13" spans="1:14" x14ac:dyDescent="0.25">
      <c r="A13" s="2">
        <v>45728</v>
      </c>
      <c r="B13" t="s">
        <v>35</v>
      </c>
      <c r="C13" t="s">
        <v>433</v>
      </c>
      <c r="D13" t="s">
        <v>434</v>
      </c>
      <c r="E13" s="5"/>
      <c r="F13" s="5"/>
      <c r="G13" s="5"/>
      <c r="H13" s="5"/>
      <c r="I13" s="5">
        <v>64.010000000000005</v>
      </c>
      <c r="J13" s="5"/>
      <c r="K13" s="5"/>
      <c r="L13" s="5"/>
      <c r="M13" t="s">
        <v>68</v>
      </c>
    </row>
    <row r="14" spans="1:14" x14ac:dyDescent="0.25">
      <c r="A14" s="2">
        <v>45728</v>
      </c>
      <c r="C14" t="s">
        <v>435</v>
      </c>
      <c r="D14" t="s">
        <v>436</v>
      </c>
      <c r="E14" s="5"/>
      <c r="F14" s="5"/>
      <c r="G14" s="5"/>
      <c r="H14" s="5"/>
      <c r="I14" s="5">
        <v>106.35</v>
      </c>
      <c r="J14" s="5"/>
      <c r="K14" s="5"/>
      <c r="L14" s="5"/>
      <c r="M14" t="s">
        <v>68</v>
      </c>
    </row>
    <row r="15" spans="1:14" x14ac:dyDescent="0.25">
      <c r="A15" s="2">
        <v>45728</v>
      </c>
      <c r="B15" t="s">
        <v>35</v>
      </c>
      <c r="C15" t="s">
        <v>437</v>
      </c>
      <c r="D15" t="s">
        <v>438</v>
      </c>
      <c r="E15" s="5"/>
      <c r="F15" s="5"/>
      <c r="G15" s="5"/>
      <c r="H15" s="5"/>
      <c r="I15" s="5"/>
      <c r="J15" s="5"/>
      <c r="K15" s="5"/>
      <c r="L15" s="5">
        <v>69.02</v>
      </c>
      <c r="M15" t="s">
        <v>68</v>
      </c>
    </row>
    <row r="16" spans="1:14" x14ac:dyDescent="0.25">
      <c r="A16" s="2">
        <v>45728</v>
      </c>
      <c r="B16" t="s">
        <v>35</v>
      </c>
      <c r="C16" t="s">
        <v>439</v>
      </c>
      <c r="D16" t="s">
        <v>440</v>
      </c>
      <c r="E16" s="5"/>
      <c r="F16" s="5"/>
      <c r="G16" s="5"/>
      <c r="H16" s="5"/>
      <c r="I16" s="5">
        <v>480.15</v>
      </c>
      <c r="J16" s="5"/>
      <c r="K16" s="5"/>
      <c r="L16" s="5"/>
      <c r="M16" t="s">
        <v>68</v>
      </c>
    </row>
    <row r="17" spans="1:13" x14ac:dyDescent="0.25">
      <c r="A17" s="2">
        <v>45728</v>
      </c>
      <c r="C17" t="s">
        <v>441</v>
      </c>
      <c r="D17" t="s">
        <v>442</v>
      </c>
      <c r="E17" s="5"/>
      <c r="F17" s="5"/>
      <c r="G17" s="5"/>
      <c r="H17" s="5"/>
      <c r="I17" s="5">
        <v>35.700000000000003</v>
      </c>
      <c r="J17" s="5"/>
      <c r="K17" s="5"/>
      <c r="L17" s="5"/>
      <c r="M17" t="s">
        <v>68</v>
      </c>
    </row>
    <row r="18" spans="1:13" x14ac:dyDescent="0.25">
      <c r="A18" s="2">
        <v>45728</v>
      </c>
      <c r="B18" t="s">
        <v>35</v>
      </c>
      <c r="C18" t="s">
        <v>443</v>
      </c>
      <c r="D18" t="s">
        <v>444</v>
      </c>
      <c r="E18" s="5"/>
      <c r="F18" s="5"/>
      <c r="G18" s="5"/>
      <c r="H18" s="5"/>
      <c r="I18" s="5">
        <v>268.95999999999998</v>
      </c>
      <c r="J18" s="5"/>
      <c r="K18" s="5"/>
      <c r="L18" s="5"/>
      <c r="M18" t="s">
        <v>68</v>
      </c>
    </row>
    <row r="19" spans="1:13" x14ac:dyDescent="0.25">
      <c r="A19" s="2">
        <v>45728</v>
      </c>
      <c r="C19" t="s">
        <v>445</v>
      </c>
      <c r="D19" t="s">
        <v>446</v>
      </c>
      <c r="E19" s="5"/>
      <c r="F19" s="5"/>
      <c r="G19" s="5"/>
      <c r="H19" s="5"/>
      <c r="I19" s="5">
        <v>34.51</v>
      </c>
      <c r="J19" s="5"/>
      <c r="K19" s="5"/>
      <c r="L19" s="5"/>
      <c r="M19" t="s">
        <v>68</v>
      </c>
    </row>
    <row r="20" spans="1:13" x14ac:dyDescent="0.25">
      <c r="A20" s="2">
        <v>45728</v>
      </c>
      <c r="B20" t="s">
        <v>35</v>
      </c>
      <c r="C20" t="s">
        <v>447</v>
      </c>
      <c r="D20" t="s">
        <v>448</v>
      </c>
      <c r="E20" s="5"/>
      <c r="F20" s="5"/>
      <c r="G20" s="5"/>
      <c r="H20" s="5"/>
      <c r="I20" s="5"/>
      <c r="J20" s="5"/>
      <c r="K20" s="5"/>
      <c r="L20" s="5">
        <v>69.02</v>
      </c>
      <c r="M20" t="s">
        <v>68</v>
      </c>
    </row>
    <row r="21" spans="1:13" x14ac:dyDescent="0.25">
      <c r="A21" s="2">
        <v>45728</v>
      </c>
      <c r="C21" t="s">
        <v>449</v>
      </c>
      <c r="D21" t="s">
        <v>450</v>
      </c>
      <c r="E21" s="5"/>
      <c r="F21" s="5"/>
      <c r="G21" s="5"/>
      <c r="H21" s="5"/>
      <c r="I21" s="5">
        <v>34.51</v>
      </c>
      <c r="J21" s="5"/>
      <c r="K21" s="5"/>
      <c r="L21" s="5"/>
      <c r="M21" t="s">
        <v>68</v>
      </c>
    </row>
    <row r="22" spans="1:13" x14ac:dyDescent="0.25">
      <c r="A22" s="2">
        <v>45747</v>
      </c>
      <c r="C22" t="s">
        <v>451</v>
      </c>
      <c r="D22" t="s">
        <v>452</v>
      </c>
      <c r="E22" s="5"/>
      <c r="F22" s="5"/>
      <c r="G22" s="5"/>
      <c r="H22" s="5"/>
      <c r="I22" s="5">
        <v>34.51</v>
      </c>
      <c r="J22" s="5"/>
      <c r="K22" s="5"/>
      <c r="L22" s="5"/>
      <c r="M22" t="s">
        <v>68</v>
      </c>
    </row>
    <row r="23" spans="1:13" x14ac:dyDescent="0.25">
      <c r="A23" s="2">
        <v>45747</v>
      </c>
      <c r="B23" t="s">
        <v>35</v>
      </c>
      <c r="C23" t="s">
        <v>453</v>
      </c>
      <c r="D23" t="s">
        <v>454</v>
      </c>
      <c r="E23" s="5"/>
      <c r="F23" s="5"/>
      <c r="G23" s="5"/>
      <c r="H23" s="5"/>
      <c r="I23" s="5"/>
      <c r="J23" s="5"/>
      <c r="K23" s="5"/>
      <c r="L23" s="5">
        <v>1375.22</v>
      </c>
      <c r="M23" t="s">
        <v>68</v>
      </c>
    </row>
    <row r="24" spans="1:13" x14ac:dyDescent="0.25">
      <c r="A24" s="2">
        <v>45747</v>
      </c>
      <c r="C24" t="s">
        <v>455</v>
      </c>
      <c r="D24" t="s">
        <v>456</v>
      </c>
      <c r="E24" s="5"/>
      <c r="F24" s="5"/>
      <c r="G24" s="5"/>
      <c r="H24" s="5"/>
      <c r="I24" s="5">
        <v>175.36</v>
      </c>
      <c r="J24" s="5"/>
      <c r="K24" s="5"/>
      <c r="L24" s="5"/>
      <c r="M24" t="s">
        <v>68</v>
      </c>
    </row>
    <row r="25" spans="1:13" x14ac:dyDescent="0.25">
      <c r="A25" s="2">
        <v>45747</v>
      </c>
      <c r="B25" t="s">
        <v>39</v>
      </c>
      <c r="C25" t="s">
        <v>457</v>
      </c>
      <c r="D25" t="s">
        <v>458</v>
      </c>
      <c r="E25" s="5"/>
      <c r="F25" s="5"/>
      <c r="G25" s="5"/>
      <c r="H25" s="5"/>
      <c r="I25" s="5"/>
      <c r="J25" s="5">
        <v>123.14</v>
      </c>
      <c r="K25" s="5"/>
      <c r="L25" s="5"/>
      <c r="M25" t="s">
        <v>68</v>
      </c>
    </row>
    <row r="26" spans="1:13" x14ac:dyDescent="0.25">
      <c r="A26" s="2">
        <v>45747</v>
      </c>
      <c r="B26" t="s">
        <v>39</v>
      </c>
      <c r="C26" t="s">
        <v>459</v>
      </c>
      <c r="D26" t="s">
        <v>460</v>
      </c>
      <c r="E26" s="5"/>
      <c r="F26" s="5"/>
      <c r="G26" s="5"/>
      <c r="H26" s="5"/>
      <c r="I26" s="5"/>
      <c r="J26" s="5"/>
      <c r="K26" s="37">
        <v>6242.63</v>
      </c>
      <c r="L26" s="5"/>
      <c r="M26" t="s">
        <v>68</v>
      </c>
    </row>
    <row r="27" spans="1:13" x14ac:dyDescent="0.25">
      <c r="A27" s="2">
        <v>45749</v>
      </c>
      <c r="C27" t="s">
        <v>461</v>
      </c>
      <c r="D27" t="s">
        <v>462</v>
      </c>
      <c r="E27" s="5"/>
      <c r="F27" s="5"/>
      <c r="G27" s="5"/>
      <c r="H27" s="5"/>
      <c r="I27" s="5">
        <v>34.51</v>
      </c>
      <c r="J27" s="5"/>
      <c r="K27" s="5"/>
      <c r="L27" s="5"/>
      <c r="M27" t="s">
        <v>68</v>
      </c>
    </row>
    <row r="28" spans="1:13" x14ac:dyDescent="0.25">
      <c r="A28" s="2">
        <v>45772</v>
      </c>
      <c r="B28" t="s">
        <v>35</v>
      </c>
      <c r="C28" t="s">
        <v>463</v>
      </c>
      <c r="D28" t="s">
        <v>464</v>
      </c>
      <c r="E28" s="5"/>
      <c r="F28" s="5"/>
      <c r="G28" s="5"/>
      <c r="H28" s="5"/>
      <c r="I28" s="5">
        <v>340.34</v>
      </c>
      <c r="J28" s="5"/>
      <c r="K28" s="5"/>
      <c r="L28" s="5"/>
      <c r="M28" t="s">
        <v>68</v>
      </c>
    </row>
    <row r="29" spans="1:13" x14ac:dyDescent="0.25">
      <c r="A29" s="2">
        <v>45772</v>
      </c>
      <c r="B29" t="s">
        <v>35</v>
      </c>
      <c r="C29" t="s">
        <v>465</v>
      </c>
      <c r="D29" t="s">
        <v>466</v>
      </c>
      <c r="E29" s="5"/>
      <c r="F29" s="5"/>
      <c r="G29" s="5"/>
      <c r="H29" s="5"/>
      <c r="I29" s="5">
        <v>409.32</v>
      </c>
      <c r="J29" s="5"/>
      <c r="K29" s="5"/>
      <c r="L29" s="5"/>
      <c r="M29" t="s">
        <v>68</v>
      </c>
    </row>
    <row r="30" spans="1:13" x14ac:dyDescent="0.25">
      <c r="A30" s="2">
        <v>45772</v>
      </c>
      <c r="B30" t="s">
        <v>35</v>
      </c>
      <c r="C30" t="s">
        <v>467</v>
      </c>
      <c r="D30" t="s">
        <v>468</v>
      </c>
      <c r="E30" s="5"/>
      <c r="F30" s="5"/>
      <c r="G30" s="5"/>
      <c r="H30" s="5"/>
      <c r="I30" s="5">
        <v>431.66</v>
      </c>
      <c r="J30" s="5"/>
      <c r="K30" s="5"/>
      <c r="L30" s="5"/>
      <c r="M30" t="s">
        <v>68</v>
      </c>
    </row>
    <row r="31" spans="1:13" x14ac:dyDescent="0.25">
      <c r="A31" s="2">
        <v>45772</v>
      </c>
      <c r="B31" t="s">
        <v>35</v>
      </c>
      <c r="C31" t="s">
        <v>469</v>
      </c>
      <c r="D31" t="s">
        <v>470</v>
      </c>
      <c r="E31" s="5"/>
      <c r="F31" s="5"/>
      <c r="G31" s="5"/>
      <c r="H31" s="5"/>
      <c r="I31" s="5">
        <v>225.09</v>
      </c>
      <c r="J31" s="5"/>
      <c r="K31" s="5"/>
      <c r="L31" s="5"/>
      <c r="M31" t="s">
        <v>68</v>
      </c>
    </row>
    <row r="32" spans="1:13" x14ac:dyDescent="0.25">
      <c r="A32" s="2">
        <v>45772</v>
      </c>
      <c r="C32" t="s">
        <v>471</v>
      </c>
      <c r="D32" t="s">
        <v>472</v>
      </c>
      <c r="E32" s="5"/>
      <c r="F32" s="5"/>
      <c r="G32" s="5"/>
      <c r="H32" s="5"/>
      <c r="I32" s="5">
        <v>34.51</v>
      </c>
      <c r="J32" s="5"/>
      <c r="K32" s="5"/>
      <c r="L32" s="5"/>
      <c r="M32" t="s">
        <v>68</v>
      </c>
    </row>
    <row r="33" spans="1:13" x14ac:dyDescent="0.25">
      <c r="A33" s="2">
        <v>45772</v>
      </c>
      <c r="C33" t="s">
        <v>473</v>
      </c>
      <c r="D33" t="s">
        <v>474</v>
      </c>
      <c r="E33" s="5"/>
      <c r="F33" s="5"/>
      <c r="G33" s="5"/>
      <c r="H33" s="5"/>
      <c r="I33" s="5">
        <v>62.68</v>
      </c>
      <c r="J33" s="5"/>
      <c r="K33" s="5"/>
      <c r="L33" s="5"/>
      <c r="M33" t="s">
        <v>68</v>
      </c>
    </row>
    <row r="34" spans="1:13" x14ac:dyDescent="0.25">
      <c r="A34" s="2">
        <v>45772</v>
      </c>
      <c r="B34" t="s">
        <v>39</v>
      </c>
      <c r="C34" t="s">
        <v>475</v>
      </c>
      <c r="D34" t="s">
        <v>476</v>
      </c>
      <c r="E34" s="5"/>
      <c r="F34" s="5"/>
      <c r="G34" s="5"/>
      <c r="H34" s="5"/>
      <c r="I34" s="5"/>
      <c r="J34" s="5">
        <v>71.760000000000005</v>
      </c>
      <c r="K34" s="5"/>
      <c r="L34" s="5"/>
      <c r="M34" t="s">
        <v>68</v>
      </c>
    </row>
    <row r="35" spans="1:13" x14ac:dyDescent="0.25">
      <c r="A35" s="2">
        <v>45772</v>
      </c>
      <c r="C35" t="s">
        <v>477</v>
      </c>
      <c r="D35" t="s">
        <v>478</v>
      </c>
      <c r="E35" s="5"/>
      <c r="F35" s="5"/>
      <c r="G35" s="5"/>
      <c r="H35" s="5"/>
      <c r="I35" s="5">
        <v>72.510000000000005</v>
      </c>
      <c r="J35" s="5"/>
      <c r="K35" s="5"/>
      <c r="L35" s="5"/>
      <c r="M35" t="s">
        <v>68</v>
      </c>
    </row>
    <row r="36" spans="1:13" x14ac:dyDescent="0.25">
      <c r="A36" s="2">
        <v>45772</v>
      </c>
      <c r="C36" t="s">
        <v>479</v>
      </c>
      <c r="D36" t="s">
        <v>480</v>
      </c>
      <c r="E36" s="5"/>
      <c r="F36" s="5"/>
      <c r="G36" s="5"/>
      <c r="H36" s="5"/>
      <c r="I36" s="5">
        <v>117.11</v>
      </c>
      <c r="J36" s="5"/>
      <c r="K36" s="5"/>
      <c r="L36" s="5"/>
      <c r="M36" t="s">
        <v>68</v>
      </c>
    </row>
    <row r="37" spans="1:13" x14ac:dyDescent="0.25">
      <c r="A37" s="2">
        <v>45772</v>
      </c>
      <c r="B37" t="s">
        <v>35</v>
      </c>
      <c r="C37" t="s">
        <v>481</v>
      </c>
      <c r="D37" t="s">
        <v>482</v>
      </c>
      <c r="E37" s="5"/>
      <c r="F37" s="5"/>
      <c r="G37" s="5"/>
      <c r="H37" s="5"/>
      <c r="I37" s="5">
        <v>263.37</v>
      </c>
      <c r="J37" s="5"/>
      <c r="K37" s="5"/>
      <c r="L37" s="5"/>
      <c r="M37" t="s">
        <v>68</v>
      </c>
    </row>
    <row r="38" spans="1:13" x14ac:dyDescent="0.25">
      <c r="A38" s="2">
        <v>45772</v>
      </c>
      <c r="B38" t="s">
        <v>39</v>
      </c>
      <c r="C38" t="s">
        <v>483</v>
      </c>
      <c r="D38" t="s">
        <v>484</v>
      </c>
      <c r="E38" s="5"/>
      <c r="F38" s="5"/>
      <c r="G38" s="5"/>
      <c r="H38" s="5"/>
      <c r="I38" s="5"/>
      <c r="J38" s="5"/>
      <c r="K38" s="5"/>
      <c r="L38" s="5"/>
      <c r="M38" t="s">
        <v>68</v>
      </c>
    </row>
    <row r="39" spans="1:13" x14ac:dyDescent="0.25">
      <c r="A39" s="2">
        <v>45772</v>
      </c>
      <c r="B39" t="s">
        <v>39</v>
      </c>
      <c r="C39" t="s">
        <v>483</v>
      </c>
      <c r="D39" t="s">
        <v>484</v>
      </c>
      <c r="E39" s="5"/>
      <c r="F39" s="5"/>
      <c r="G39" s="5"/>
      <c r="H39" s="5"/>
      <c r="I39" s="5"/>
      <c r="J39" s="5"/>
      <c r="K39" s="5">
        <v>39.71</v>
      </c>
      <c r="L39" s="5"/>
      <c r="M39" t="s">
        <v>68</v>
      </c>
    </row>
    <row r="40" spans="1:13" x14ac:dyDescent="0.25">
      <c r="A40" s="2">
        <v>45799</v>
      </c>
      <c r="B40" t="s">
        <v>39</v>
      </c>
      <c r="C40" t="s">
        <v>485</v>
      </c>
      <c r="D40" t="s">
        <v>486</v>
      </c>
      <c r="E40" s="5"/>
      <c r="F40" s="5"/>
      <c r="G40" s="5"/>
      <c r="H40" s="5"/>
      <c r="I40" s="5">
        <v>4695.95</v>
      </c>
      <c r="J40" s="5"/>
      <c r="K40" s="5"/>
      <c r="L40" s="5"/>
      <c r="M40" t="s">
        <v>68</v>
      </c>
    </row>
    <row r="41" spans="1:13" x14ac:dyDescent="0.25">
      <c r="A41" s="2">
        <v>45799</v>
      </c>
      <c r="B41" t="s">
        <v>35</v>
      </c>
      <c r="C41" t="s">
        <v>487</v>
      </c>
      <c r="D41" t="s">
        <v>488</v>
      </c>
      <c r="E41" s="5"/>
      <c r="F41" s="5"/>
      <c r="G41" s="5"/>
      <c r="H41" s="5"/>
      <c r="I41" s="5"/>
      <c r="J41" s="5"/>
      <c r="K41" s="5"/>
      <c r="L41" s="5">
        <v>69.02</v>
      </c>
      <c r="M41" t="s">
        <v>68</v>
      </c>
    </row>
    <row r="42" spans="1:13" x14ac:dyDescent="0.25">
      <c r="A42" s="2">
        <v>45799</v>
      </c>
      <c r="C42" t="s">
        <v>489</v>
      </c>
      <c r="D42" t="s">
        <v>490</v>
      </c>
      <c r="E42" s="5"/>
      <c r="F42" s="5"/>
      <c r="G42" s="5"/>
      <c r="H42" s="5"/>
      <c r="I42" s="5">
        <v>328.63</v>
      </c>
      <c r="J42" s="5"/>
      <c r="K42" s="5"/>
      <c r="L42" s="5"/>
      <c r="M42" t="s">
        <v>68</v>
      </c>
    </row>
    <row r="43" spans="1:13" x14ac:dyDescent="0.25">
      <c r="A43" s="2">
        <v>45799</v>
      </c>
      <c r="B43" t="s">
        <v>39</v>
      </c>
      <c r="C43" t="s">
        <v>491</v>
      </c>
      <c r="D43" t="s">
        <v>492</v>
      </c>
      <c r="E43" s="5"/>
      <c r="F43" s="5"/>
      <c r="G43" s="5"/>
      <c r="H43" s="5"/>
      <c r="I43" s="5"/>
      <c r="J43" s="5">
        <v>81.88</v>
      </c>
      <c r="K43" s="5"/>
      <c r="L43" s="5"/>
      <c r="M43" t="s">
        <v>68</v>
      </c>
    </row>
    <row r="44" spans="1:13" x14ac:dyDescent="0.25">
      <c r="A44" s="2">
        <v>45799</v>
      </c>
      <c r="B44" t="s">
        <v>35</v>
      </c>
      <c r="C44" t="s">
        <v>493</v>
      </c>
      <c r="D44" t="s">
        <v>494</v>
      </c>
      <c r="E44" s="5"/>
      <c r="F44" s="5"/>
      <c r="G44" s="5"/>
      <c r="H44" s="5"/>
      <c r="I44" s="5">
        <v>74.739999999999995</v>
      </c>
      <c r="J44" s="5"/>
      <c r="K44" s="5"/>
      <c r="L44" s="5"/>
      <c r="M44" t="s">
        <v>68</v>
      </c>
    </row>
    <row r="45" spans="1:13" x14ac:dyDescent="0.25">
      <c r="A45" s="2">
        <v>45799</v>
      </c>
      <c r="B45" t="s">
        <v>35</v>
      </c>
      <c r="C45" t="s">
        <v>495</v>
      </c>
      <c r="D45" t="s">
        <v>496</v>
      </c>
      <c r="E45" s="5"/>
      <c r="F45" s="5"/>
      <c r="G45" s="5"/>
      <c r="H45" s="5"/>
      <c r="I45" s="5"/>
      <c r="J45" s="5"/>
      <c r="K45" s="5"/>
      <c r="L45" s="5">
        <v>370.11</v>
      </c>
      <c r="M45" t="s">
        <v>68</v>
      </c>
    </row>
    <row r="46" spans="1:13" x14ac:dyDescent="0.25">
      <c r="A46" s="2">
        <v>45799</v>
      </c>
      <c r="C46" t="s">
        <v>497</v>
      </c>
      <c r="D46" t="s">
        <v>498</v>
      </c>
      <c r="E46" s="5"/>
      <c r="F46" s="5"/>
      <c r="G46" s="5"/>
      <c r="H46" s="5"/>
      <c r="I46" s="5">
        <v>34.51</v>
      </c>
      <c r="J46" s="5"/>
      <c r="K46" s="5"/>
      <c r="L46" s="5"/>
      <c r="M46" t="s">
        <v>68</v>
      </c>
    </row>
    <row r="47" spans="1:13" x14ac:dyDescent="0.25">
      <c r="A47" s="2">
        <v>45799</v>
      </c>
      <c r="C47" t="s">
        <v>499</v>
      </c>
      <c r="D47" t="s">
        <v>500</v>
      </c>
      <c r="E47" s="5"/>
      <c r="F47" s="5"/>
      <c r="G47" s="5"/>
      <c r="H47" s="5"/>
      <c r="I47" s="5">
        <v>102.51</v>
      </c>
      <c r="J47" s="5"/>
      <c r="K47" s="5"/>
      <c r="L47" s="5"/>
      <c r="M47" t="s">
        <v>68</v>
      </c>
    </row>
    <row r="48" spans="1:13" x14ac:dyDescent="0.25">
      <c r="A48" s="2">
        <v>45799</v>
      </c>
      <c r="B48" t="s">
        <v>39</v>
      </c>
      <c r="C48" t="s">
        <v>501</v>
      </c>
      <c r="D48" t="s">
        <v>502</v>
      </c>
      <c r="E48" s="5"/>
      <c r="F48" s="5"/>
      <c r="G48" s="5"/>
      <c r="H48" s="5"/>
      <c r="I48" s="5"/>
      <c r="J48" s="5">
        <v>69.02</v>
      </c>
      <c r="K48" s="5"/>
      <c r="L48" s="5"/>
      <c r="M48" t="s">
        <v>68</v>
      </c>
    </row>
    <row r="49" spans="1:13" x14ac:dyDescent="0.25">
      <c r="A49" s="2">
        <v>45804</v>
      </c>
      <c r="B49" t="s">
        <v>35</v>
      </c>
      <c r="C49" s="2" t="s">
        <v>503</v>
      </c>
      <c r="D49" t="s">
        <v>504</v>
      </c>
      <c r="E49" s="5"/>
      <c r="F49" s="5"/>
      <c r="G49" s="5"/>
      <c r="H49" s="5"/>
      <c r="I49" s="5">
        <v>63</v>
      </c>
      <c r="J49" s="5"/>
      <c r="K49" s="5"/>
      <c r="L49" s="5"/>
      <c r="M49" t="s">
        <v>68</v>
      </c>
    </row>
    <row r="50" spans="1:13" x14ac:dyDescent="0.25">
      <c r="A50" s="2">
        <v>45804</v>
      </c>
      <c r="B50" t="s">
        <v>35</v>
      </c>
      <c r="C50" t="s">
        <v>505</v>
      </c>
      <c r="D50" t="s">
        <v>506</v>
      </c>
      <c r="E50" s="5"/>
      <c r="F50" s="5"/>
      <c r="G50" s="5"/>
      <c r="H50" s="5"/>
      <c r="I50" s="5">
        <v>341.99</v>
      </c>
      <c r="J50" s="5"/>
      <c r="K50" s="5"/>
      <c r="L50" s="5"/>
      <c r="M50" t="s">
        <v>68</v>
      </c>
    </row>
    <row r="51" spans="1:13" x14ac:dyDescent="0.25">
      <c r="A51" s="2">
        <v>45805</v>
      </c>
      <c r="B51" t="s">
        <v>39</v>
      </c>
      <c r="C51" t="s">
        <v>507</v>
      </c>
      <c r="D51" t="s">
        <v>508</v>
      </c>
      <c r="E51" s="5"/>
      <c r="F51" s="5"/>
      <c r="G51" s="5"/>
      <c r="H51" s="5"/>
      <c r="I51" s="5">
        <v>120.13</v>
      </c>
      <c r="J51" s="5"/>
      <c r="K51" s="5"/>
      <c r="L51" s="5"/>
      <c r="M51" t="s">
        <v>68</v>
      </c>
    </row>
    <row r="52" spans="1:13" x14ac:dyDescent="0.25">
      <c r="A52" s="2">
        <v>45811</v>
      </c>
      <c r="B52" t="s">
        <v>39</v>
      </c>
      <c r="C52" t="s">
        <v>509</v>
      </c>
      <c r="D52" t="s">
        <v>510</v>
      </c>
      <c r="E52" s="5"/>
      <c r="F52" s="5"/>
      <c r="G52" s="5"/>
      <c r="H52" s="5"/>
      <c r="I52" s="5"/>
      <c r="J52" s="5">
        <v>367.45</v>
      </c>
      <c r="K52" s="5"/>
      <c r="L52" s="5"/>
      <c r="M52" t="s">
        <v>68</v>
      </c>
    </row>
    <row r="53" spans="1:13" x14ac:dyDescent="0.25">
      <c r="A53" s="2">
        <v>45833</v>
      </c>
      <c r="C53" t="s">
        <v>511</v>
      </c>
      <c r="D53" t="s">
        <v>512</v>
      </c>
      <c r="J53" s="5">
        <v>178.36</v>
      </c>
      <c r="K53" s="5"/>
      <c r="L53" s="5"/>
      <c r="M53" t="s">
        <v>68</v>
      </c>
    </row>
    <row r="54" spans="1:13" x14ac:dyDescent="0.25">
      <c r="A54" s="2">
        <v>45833</v>
      </c>
      <c r="B54" t="s">
        <v>35</v>
      </c>
      <c r="C54" t="s">
        <v>513</v>
      </c>
      <c r="D54" t="s">
        <v>514</v>
      </c>
      <c r="E54" s="5"/>
      <c r="F54" s="5"/>
      <c r="G54" s="5"/>
      <c r="H54" s="5"/>
      <c r="I54" s="5"/>
      <c r="J54" s="5"/>
      <c r="K54" s="5"/>
      <c r="L54" s="5">
        <v>155.19</v>
      </c>
      <c r="M54" t="s">
        <v>68</v>
      </c>
    </row>
    <row r="55" spans="1:13" x14ac:dyDescent="0.25">
      <c r="A55" s="2">
        <v>45833</v>
      </c>
      <c r="C55" t="s">
        <v>515</v>
      </c>
      <c r="D55" t="s">
        <v>516</v>
      </c>
      <c r="E55" s="5"/>
      <c r="F55" s="5"/>
      <c r="G55" s="5"/>
      <c r="H55" s="5"/>
      <c r="I55" s="5"/>
      <c r="J55" s="5"/>
      <c r="K55" s="5"/>
      <c r="L55" s="5">
        <v>62.23</v>
      </c>
      <c r="M55" t="s">
        <v>68</v>
      </c>
    </row>
    <row r="56" spans="1:13" x14ac:dyDescent="0.25">
      <c r="A56" s="2">
        <v>45833</v>
      </c>
      <c r="B56" t="s">
        <v>35</v>
      </c>
      <c r="C56" t="s">
        <v>517</v>
      </c>
      <c r="D56" t="s">
        <v>518</v>
      </c>
      <c r="E56" s="5"/>
      <c r="F56" s="5"/>
      <c r="G56" s="5"/>
      <c r="H56" s="5"/>
      <c r="I56" s="5"/>
      <c r="J56" s="5"/>
      <c r="K56" s="5"/>
      <c r="L56" s="5">
        <v>91.31</v>
      </c>
      <c r="M56" t="s">
        <v>68</v>
      </c>
    </row>
    <row r="57" spans="1:13" x14ac:dyDescent="0.25">
      <c r="A57" s="2">
        <v>45833</v>
      </c>
      <c r="B57" t="s">
        <v>35</v>
      </c>
      <c r="C57" t="s">
        <v>519</v>
      </c>
      <c r="D57" t="s">
        <v>520</v>
      </c>
      <c r="E57" s="5"/>
      <c r="F57" s="5"/>
      <c r="G57" s="5"/>
      <c r="H57" s="5"/>
      <c r="I57" s="5"/>
      <c r="J57" s="5"/>
      <c r="K57" s="5"/>
      <c r="L57" s="5">
        <v>150.55000000000001</v>
      </c>
      <c r="M57" t="s">
        <v>68</v>
      </c>
    </row>
    <row r="58" spans="1:13" x14ac:dyDescent="0.25">
      <c r="A58" s="2">
        <v>45833</v>
      </c>
      <c r="B58" t="s">
        <v>35</v>
      </c>
      <c r="C58" t="s">
        <v>521</v>
      </c>
      <c r="D58" t="s">
        <v>504</v>
      </c>
      <c r="E58" s="5"/>
      <c r="F58" s="5"/>
      <c r="G58" s="5"/>
      <c r="H58" s="5"/>
      <c r="I58" s="5">
        <v>522.86</v>
      </c>
      <c r="J58" s="5"/>
      <c r="K58" s="5"/>
      <c r="L58" s="5"/>
      <c r="M58" t="s">
        <v>68</v>
      </c>
    </row>
    <row r="59" spans="1:13" x14ac:dyDescent="0.25">
      <c r="A59" s="2">
        <v>45833</v>
      </c>
      <c r="B59" t="s">
        <v>35</v>
      </c>
      <c r="C59" t="s">
        <v>522</v>
      </c>
      <c r="D59" t="s">
        <v>514</v>
      </c>
      <c r="E59" s="5"/>
      <c r="F59" s="5"/>
      <c r="G59" s="5"/>
      <c r="H59" s="5"/>
      <c r="I59" s="5"/>
      <c r="J59" s="5"/>
      <c r="K59" s="5"/>
      <c r="L59" s="5">
        <v>422.41</v>
      </c>
      <c r="M59" t="s">
        <v>68</v>
      </c>
    </row>
    <row r="60" spans="1:13" x14ac:dyDescent="0.25">
      <c r="A60" s="2">
        <v>45833</v>
      </c>
      <c r="C60" t="s">
        <v>523</v>
      </c>
      <c r="D60" t="s">
        <v>524</v>
      </c>
      <c r="E60" s="5"/>
      <c r="F60" s="5"/>
      <c r="G60" s="5"/>
      <c r="H60" s="5"/>
      <c r="I60" s="5">
        <v>122.11</v>
      </c>
      <c r="J60" s="5"/>
      <c r="K60" s="5"/>
      <c r="L60" s="5"/>
      <c r="M60" t="s">
        <v>68</v>
      </c>
    </row>
    <row r="61" spans="1:13" x14ac:dyDescent="0.25">
      <c r="A61" s="2">
        <v>45838</v>
      </c>
      <c r="C61" t="s">
        <v>525</v>
      </c>
      <c r="D61" t="s">
        <v>526</v>
      </c>
      <c r="E61" s="5"/>
      <c r="F61" s="5"/>
      <c r="G61" s="5"/>
      <c r="H61" s="5"/>
      <c r="I61" s="5">
        <v>644.79999999999995</v>
      </c>
      <c r="J61" s="5"/>
      <c r="K61" s="5"/>
      <c r="L61" s="5"/>
      <c r="M61" t="s">
        <v>68</v>
      </c>
    </row>
    <row r="62" spans="1:13" x14ac:dyDescent="0.25">
      <c r="A62" s="2">
        <v>45838</v>
      </c>
      <c r="B62" t="s">
        <v>35</v>
      </c>
      <c r="C62" t="s">
        <v>527</v>
      </c>
      <c r="D62" t="s">
        <v>528</v>
      </c>
      <c r="E62" s="5"/>
      <c r="F62" s="5"/>
      <c r="G62" s="5"/>
      <c r="H62" s="5"/>
      <c r="I62" s="5">
        <v>298.56</v>
      </c>
      <c r="J62" s="5"/>
      <c r="K62" s="5"/>
      <c r="L62" s="5"/>
      <c r="M62" t="s">
        <v>68</v>
      </c>
    </row>
    <row r="63" spans="1:13" x14ac:dyDescent="0.25">
      <c r="A63" s="2">
        <v>45838</v>
      </c>
      <c r="C63" t="s">
        <v>529</v>
      </c>
      <c r="D63" t="s">
        <v>530</v>
      </c>
      <c r="E63" s="5"/>
      <c r="F63" s="5"/>
      <c r="G63" s="5"/>
      <c r="H63" s="5"/>
      <c r="I63" s="5">
        <v>22.99</v>
      </c>
      <c r="J63" s="5"/>
      <c r="K63" s="5"/>
      <c r="L63" s="5"/>
      <c r="M63" t="s">
        <v>68</v>
      </c>
    </row>
    <row r="64" spans="1:13" x14ac:dyDescent="0.25">
      <c r="A64" s="2">
        <v>45838</v>
      </c>
      <c r="B64" t="s">
        <v>35</v>
      </c>
      <c r="C64" t="s">
        <v>531</v>
      </c>
      <c r="D64" t="s">
        <v>496</v>
      </c>
      <c r="E64" s="5"/>
      <c r="F64" s="5"/>
      <c r="G64" s="5"/>
      <c r="H64" s="5"/>
      <c r="I64" s="5"/>
      <c r="J64" s="5"/>
      <c r="K64" s="5"/>
      <c r="L64" s="5">
        <v>138.04</v>
      </c>
      <c r="M64" t="s">
        <v>68</v>
      </c>
    </row>
    <row r="65" spans="1:13" x14ac:dyDescent="0.25">
      <c r="A65" s="19">
        <v>45866</v>
      </c>
      <c r="B65" s="21"/>
      <c r="C65" s="20" t="s">
        <v>532</v>
      </c>
      <c r="D65" s="20" t="s">
        <v>533</v>
      </c>
      <c r="E65" s="20"/>
      <c r="F65" s="20"/>
      <c r="G65" s="20"/>
      <c r="H65" s="20"/>
      <c r="I65" s="20"/>
      <c r="J65" s="20"/>
      <c r="K65" s="20"/>
      <c r="L65" s="22">
        <v>110.57</v>
      </c>
      <c r="M65" t="s">
        <v>68</v>
      </c>
    </row>
    <row r="66" spans="1:13" x14ac:dyDescent="0.25">
      <c r="A66" s="19">
        <v>45866</v>
      </c>
      <c r="B66" t="s">
        <v>35</v>
      </c>
      <c r="C66" t="s">
        <v>534</v>
      </c>
      <c r="D66" t="s">
        <v>535</v>
      </c>
      <c r="E66" s="5"/>
      <c r="F66" s="5"/>
      <c r="G66" s="5"/>
      <c r="H66" s="5"/>
      <c r="I66" s="5"/>
      <c r="J66" s="5"/>
      <c r="K66" s="5"/>
      <c r="L66" s="5">
        <v>1112.6500000000001</v>
      </c>
      <c r="M66" t="s">
        <v>68</v>
      </c>
    </row>
    <row r="67" spans="1:13" x14ac:dyDescent="0.25">
      <c r="A67" s="19">
        <v>45866</v>
      </c>
      <c r="B67" s="21"/>
      <c r="C67" s="20" t="s">
        <v>536</v>
      </c>
      <c r="D67" s="20" t="s">
        <v>537</v>
      </c>
      <c r="E67" s="20"/>
      <c r="F67" s="20"/>
      <c r="G67" s="20"/>
      <c r="H67" s="20"/>
      <c r="I67" s="22">
        <v>34.51</v>
      </c>
      <c r="J67" s="20"/>
      <c r="K67" s="20"/>
      <c r="L67" s="20"/>
      <c r="M67" s="23" t="s">
        <v>68</v>
      </c>
    </row>
    <row r="68" spans="1:13" x14ac:dyDescent="0.25">
      <c r="A68" s="19">
        <v>45866</v>
      </c>
      <c r="B68" t="s">
        <v>35</v>
      </c>
      <c r="C68" t="s">
        <v>538</v>
      </c>
      <c r="D68" t="s">
        <v>539</v>
      </c>
      <c r="E68" s="5"/>
      <c r="F68" s="5"/>
      <c r="G68" s="5"/>
      <c r="H68" s="5"/>
      <c r="I68" s="5">
        <v>91.96</v>
      </c>
      <c r="J68" s="5"/>
      <c r="K68" s="5"/>
      <c r="L68" s="5"/>
      <c r="M68" s="23" t="s">
        <v>68</v>
      </c>
    </row>
    <row r="69" spans="1:13" x14ac:dyDescent="0.25">
      <c r="A69" s="19">
        <v>45866</v>
      </c>
      <c r="C69" t="s">
        <v>540</v>
      </c>
      <c r="D69" t="s">
        <v>541</v>
      </c>
      <c r="E69" s="5"/>
      <c r="F69" s="5"/>
      <c r="G69" s="5"/>
      <c r="H69" s="5"/>
      <c r="I69" s="5">
        <v>34.51</v>
      </c>
      <c r="J69" s="5"/>
      <c r="K69" s="5"/>
      <c r="L69" s="5"/>
      <c r="M69" s="23" t="s">
        <v>68</v>
      </c>
    </row>
    <row r="70" spans="1:13" x14ac:dyDescent="0.25">
      <c r="A70" s="19">
        <v>45866</v>
      </c>
      <c r="C70" t="s">
        <v>542</v>
      </c>
      <c r="D70" t="s">
        <v>543</v>
      </c>
      <c r="E70" s="5"/>
      <c r="F70" s="5"/>
      <c r="G70" s="5"/>
      <c r="H70" s="5"/>
      <c r="I70" s="5"/>
      <c r="J70" s="5"/>
      <c r="K70" s="5"/>
      <c r="L70" s="5">
        <v>218.06</v>
      </c>
      <c r="M70" s="23" t="s">
        <v>68</v>
      </c>
    </row>
    <row r="71" spans="1:13" x14ac:dyDescent="0.25">
      <c r="A71" s="19">
        <v>45866</v>
      </c>
      <c r="C71" t="s">
        <v>544</v>
      </c>
      <c r="D71" t="s">
        <v>496</v>
      </c>
      <c r="E71" s="5"/>
      <c r="F71" s="5"/>
      <c r="G71" s="5"/>
      <c r="H71" s="5"/>
      <c r="I71" s="5"/>
      <c r="J71" s="5"/>
      <c r="K71" s="5"/>
      <c r="L71" s="5">
        <v>173.16</v>
      </c>
      <c r="M71" s="23" t="s">
        <v>68</v>
      </c>
    </row>
    <row r="72" spans="1:13" x14ac:dyDescent="0.25">
      <c r="A72" s="19">
        <v>45866</v>
      </c>
      <c r="C72" t="s">
        <v>545</v>
      </c>
      <c r="D72" t="s">
        <v>545</v>
      </c>
      <c r="E72" s="5"/>
      <c r="F72" s="5"/>
      <c r="G72" s="5"/>
      <c r="H72" s="5"/>
      <c r="I72" s="5">
        <v>53.22</v>
      </c>
      <c r="J72" s="5"/>
      <c r="K72" s="5"/>
      <c r="L72" s="5"/>
      <c r="M72" s="23" t="s">
        <v>68</v>
      </c>
    </row>
    <row r="73" spans="1:13" x14ac:dyDescent="0.25">
      <c r="A73" s="19">
        <v>45866</v>
      </c>
      <c r="C73" t="s">
        <v>546</v>
      </c>
      <c r="D73" t="s">
        <v>547</v>
      </c>
      <c r="E73" s="5"/>
      <c r="F73" s="5"/>
      <c r="G73" s="5"/>
      <c r="H73" s="5"/>
      <c r="I73" s="5"/>
      <c r="J73" s="5"/>
      <c r="K73" s="5"/>
      <c r="L73" s="5">
        <v>166.28</v>
      </c>
      <c r="M73" s="23" t="s">
        <v>68</v>
      </c>
    </row>
    <row r="74" spans="1:13" x14ac:dyDescent="0.25">
      <c r="A74" s="19">
        <v>45866</v>
      </c>
      <c r="C74" t="s">
        <v>548</v>
      </c>
      <c r="D74" t="s">
        <v>549</v>
      </c>
      <c r="E74" s="5"/>
      <c r="F74" s="5"/>
      <c r="G74" s="5"/>
      <c r="H74" s="5"/>
      <c r="I74" s="5">
        <v>42.92</v>
      </c>
      <c r="J74" s="5"/>
      <c r="K74" s="5"/>
      <c r="L74" s="5"/>
      <c r="M74" s="23" t="s">
        <v>68</v>
      </c>
    </row>
    <row r="75" spans="1:13" x14ac:dyDescent="0.25">
      <c r="A75" s="19">
        <v>45868</v>
      </c>
      <c r="C75" t="s">
        <v>550</v>
      </c>
      <c r="D75" t="s">
        <v>551</v>
      </c>
      <c r="E75" s="5"/>
      <c r="F75" s="5"/>
      <c r="G75" s="5"/>
      <c r="H75" s="5"/>
      <c r="I75" s="5"/>
      <c r="J75" s="5"/>
      <c r="K75" s="5"/>
      <c r="L75" s="5">
        <v>34.51</v>
      </c>
      <c r="M75" s="23" t="s">
        <v>68</v>
      </c>
    </row>
    <row r="76" spans="1:13" x14ac:dyDescent="0.25">
      <c r="A76" s="19">
        <v>45869</v>
      </c>
      <c r="C76" t="s">
        <v>552</v>
      </c>
      <c r="D76" t="s">
        <v>553</v>
      </c>
      <c r="E76" s="5"/>
      <c r="F76" s="5"/>
      <c r="G76" s="5"/>
      <c r="H76" s="5"/>
      <c r="I76" s="5">
        <v>86.35</v>
      </c>
      <c r="J76" s="5"/>
      <c r="K76" s="5"/>
      <c r="L76" s="5"/>
      <c r="M76" s="23" t="s">
        <v>68</v>
      </c>
    </row>
    <row r="77" spans="1:13" x14ac:dyDescent="0.25">
      <c r="A77" s="19">
        <v>45869</v>
      </c>
      <c r="C77" t="s">
        <v>554</v>
      </c>
      <c r="D77" t="s">
        <v>555</v>
      </c>
      <c r="E77" s="5"/>
      <c r="F77" s="5"/>
      <c r="G77" s="5"/>
      <c r="H77" s="5"/>
      <c r="I77" s="5"/>
      <c r="J77" s="5"/>
      <c r="K77" s="5"/>
      <c r="L77" s="5">
        <v>64.53</v>
      </c>
      <c r="M77" s="23" t="s">
        <v>68</v>
      </c>
    </row>
    <row r="78" spans="1:13" x14ac:dyDescent="0.25">
      <c r="A78" s="19">
        <v>45869</v>
      </c>
      <c r="B78" t="s">
        <v>35</v>
      </c>
      <c r="C78" t="s">
        <v>556</v>
      </c>
      <c r="D78" t="s">
        <v>557</v>
      </c>
      <c r="E78" s="5"/>
      <c r="F78" s="5"/>
      <c r="G78" s="5"/>
      <c r="H78" s="5"/>
      <c r="I78" s="5"/>
      <c r="J78" s="5"/>
      <c r="K78" s="5"/>
      <c r="L78" s="5">
        <v>138.04</v>
      </c>
      <c r="M78" s="23" t="s">
        <v>68</v>
      </c>
    </row>
    <row r="79" spans="1:13" x14ac:dyDescent="0.25">
      <c r="A79" s="19">
        <v>45869</v>
      </c>
      <c r="C79" t="s">
        <v>558</v>
      </c>
      <c r="D79" t="s">
        <v>559</v>
      </c>
      <c r="E79" s="5"/>
      <c r="F79" s="5"/>
      <c r="G79" s="5"/>
      <c r="H79" s="5"/>
      <c r="I79" s="5">
        <v>69.02</v>
      </c>
      <c r="J79" s="5"/>
      <c r="K79" s="5"/>
      <c r="L79" s="5"/>
      <c r="M79" s="23" t="s">
        <v>68</v>
      </c>
    </row>
    <row r="80" spans="1:13" x14ac:dyDescent="0.25">
      <c r="A80" s="19">
        <v>45869</v>
      </c>
      <c r="B80" t="s">
        <v>35</v>
      </c>
      <c r="C80" t="s">
        <v>560</v>
      </c>
      <c r="D80" t="s">
        <v>561</v>
      </c>
      <c r="E80" s="5"/>
      <c r="F80" s="5"/>
      <c r="G80" s="5"/>
      <c r="H80" s="5"/>
      <c r="I80" s="5"/>
      <c r="J80" s="5"/>
      <c r="K80" s="5"/>
      <c r="L80" s="5">
        <v>208.54</v>
      </c>
      <c r="M80" s="23" t="s">
        <v>68</v>
      </c>
    </row>
    <row r="81" spans="1:13" x14ac:dyDescent="0.25">
      <c r="A81" s="19">
        <v>45869</v>
      </c>
      <c r="C81" t="s">
        <v>562</v>
      </c>
      <c r="D81" t="s">
        <v>563</v>
      </c>
      <c r="E81" s="5"/>
      <c r="F81" s="5"/>
      <c r="G81" s="5"/>
      <c r="H81" s="5"/>
      <c r="I81" s="5">
        <v>93.78</v>
      </c>
      <c r="J81" s="5"/>
      <c r="K81" s="5"/>
      <c r="L81" s="5"/>
      <c r="M81" s="23" t="s">
        <v>68</v>
      </c>
    </row>
    <row r="82" spans="1:13" x14ac:dyDescent="0.25">
      <c r="A82" s="19">
        <v>45869</v>
      </c>
      <c r="B82" t="s">
        <v>35</v>
      </c>
      <c r="C82" t="s">
        <v>564</v>
      </c>
      <c r="D82" t="s">
        <v>319</v>
      </c>
      <c r="E82" s="5"/>
      <c r="F82" s="5"/>
      <c r="G82" s="5"/>
      <c r="H82" s="5"/>
      <c r="I82" s="5">
        <v>69.02</v>
      </c>
      <c r="J82" s="5"/>
      <c r="K82" s="5"/>
      <c r="L82" s="5"/>
      <c r="M82" s="23" t="s">
        <v>68</v>
      </c>
    </row>
    <row r="83" spans="1:13" x14ac:dyDescent="0.25">
      <c r="A83" s="19">
        <v>45869</v>
      </c>
      <c r="C83" t="s">
        <v>565</v>
      </c>
      <c r="D83" t="s">
        <v>566</v>
      </c>
      <c r="E83" s="5"/>
      <c r="F83" s="5"/>
      <c r="G83" s="5"/>
      <c r="H83" s="5"/>
      <c r="I83" s="5">
        <v>69.02</v>
      </c>
      <c r="J83" s="5"/>
      <c r="K83" s="5"/>
      <c r="L83" s="5"/>
      <c r="M83" s="23" t="s">
        <v>68</v>
      </c>
    </row>
    <row r="84" spans="1:13" x14ac:dyDescent="0.25">
      <c r="A84" s="19">
        <v>45869</v>
      </c>
      <c r="C84" t="s">
        <v>567</v>
      </c>
      <c r="D84" t="s">
        <v>568</v>
      </c>
      <c r="E84" s="5"/>
      <c r="F84" s="5"/>
      <c r="G84" s="5"/>
      <c r="H84" s="5"/>
      <c r="I84" s="5">
        <v>182.84</v>
      </c>
      <c r="J84" s="5"/>
      <c r="K84" s="5"/>
      <c r="L84" s="5"/>
      <c r="M84" s="23" t="s">
        <v>68</v>
      </c>
    </row>
    <row r="85" spans="1:13" x14ac:dyDescent="0.25">
      <c r="A85" s="19">
        <v>45869</v>
      </c>
      <c r="C85" t="s">
        <v>569</v>
      </c>
      <c r="D85" t="s">
        <v>570</v>
      </c>
      <c r="E85" s="5"/>
      <c r="F85" s="5"/>
      <c r="G85" s="5"/>
      <c r="H85" s="5"/>
      <c r="I85" s="5">
        <v>78.849999999999994</v>
      </c>
      <c r="J85" s="5"/>
      <c r="K85" s="5"/>
      <c r="L85" s="5"/>
      <c r="M85" s="23" t="s">
        <v>68</v>
      </c>
    </row>
    <row r="86" spans="1:13" x14ac:dyDescent="0.25">
      <c r="A86" s="19">
        <v>45869</v>
      </c>
      <c r="B86" t="s">
        <v>35</v>
      </c>
      <c r="C86" t="s">
        <v>571</v>
      </c>
      <c r="D86" t="s">
        <v>572</v>
      </c>
      <c r="E86" s="5"/>
      <c r="F86" s="5"/>
      <c r="G86" s="5"/>
      <c r="H86" s="5"/>
      <c r="I86" s="5"/>
      <c r="J86" s="5"/>
      <c r="K86" s="5"/>
      <c r="L86" s="5">
        <v>69.02</v>
      </c>
      <c r="M86" s="23" t="s">
        <v>68</v>
      </c>
    </row>
    <row r="87" spans="1:13" x14ac:dyDescent="0.25">
      <c r="A87" s="19">
        <v>45869</v>
      </c>
      <c r="C87" t="s">
        <v>573</v>
      </c>
      <c r="D87" t="s">
        <v>574</v>
      </c>
      <c r="E87" s="5"/>
      <c r="F87" s="5"/>
      <c r="G87" s="5"/>
      <c r="H87" s="5"/>
      <c r="I87" s="5">
        <v>79.34</v>
      </c>
      <c r="J87" s="5"/>
      <c r="K87" s="5"/>
      <c r="M87" s="23" t="s">
        <v>68</v>
      </c>
    </row>
    <row r="88" spans="1:13" x14ac:dyDescent="0.25">
      <c r="A88" s="19">
        <v>45869</v>
      </c>
      <c r="B88" t="s">
        <v>35</v>
      </c>
      <c r="C88" t="s">
        <v>575</v>
      </c>
      <c r="D88" t="s">
        <v>576</v>
      </c>
      <c r="E88" s="5"/>
      <c r="F88" s="5"/>
      <c r="G88" s="5"/>
      <c r="H88" s="5"/>
      <c r="I88" s="5"/>
      <c r="J88" s="5"/>
      <c r="K88" s="5"/>
      <c r="L88" s="5">
        <v>1895.15</v>
      </c>
      <c r="M88" s="23" t="s">
        <v>68</v>
      </c>
    </row>
    <row r="89" spans="1:13" x14ac:dyDescent="0.25">
      <c r="A89" s="19">
        <v>45869</v>
      </c>
      <c r="C89" t="s">
        <v>577</v>
      </c>
      <c r="D89" t="s">
        <v>578</v>
      </c>
      <c r="E89" s="5"/>
      <c r="F89" s="5"/>
      <c r="G89" s="5"/>
      <c r="H89" s="5"/>
      <c r="I89" s="5">
        <v>464.04</v>
      </c>
      <c r="J89" s="5"/>
      <c r="K89" s="5"/>
      <c r="L89" s="5"/>
      <c r="M89" s="23" t="s">
        <v>68</v>
      </c>
    </row>
    <row r="90" spans="1:13" x14ac:dyDescent="0.25">
      <c r="A90" s="19">
        <v>45869</v>
      </c>
      <c r="C90" t="s">
        <v>579</v>
      </c>
      <c r="D90" t="s">
        <v>580</v>
      </c>
      <c r="E90" s="5"/>
      <c r="F90" s="5"/>
      <c r="G90" s="5"/>
      <c r="H90" s="5"/>
      <c r="I90" s="5"/>
      <c r="J90" s="5">
        <v>34.51</v>
      </c>
      <c r="K90" s="5"/>
      <c r="L90" s="5"/>
      <c r="M90" s="23" t="s">
        <v>68</v>
      </c>
    </row>
    <row r="91" spans="1:13" x14ac:dyDescent="0.25">
      <c r="A91" s="19">
        <v>45869</v>
      </c>
      <c r="C91" t="s">
        <v>581</v>
      </c>
      <c r="D91" t="s">
        <v>582</v>
      </c>
      <c r="E91" s="5"/>
      <c r="F91" s="5"/>
      <c r="G91" s="5"/>
      <c r="H91" s="5"/>
      <c r="I91" s="5">
        <v>185.13</v>
      </c>
      <c r="J91" s="5"/>
      <c r="K91" s="5"/>
      <c r="L91" s="5"/>
      <c r="M91" s="23" t="s">
        <v>68</v>
      </c>
    </row>
    <row r="92" spans="1:13" x14ac:dyDescent="0.25">
      <c r="A92" s="19">
        <v>45869</v>
      </c>
      <c r="B92" t="s">
        <v>35</v>
      </c>
      <c r="C92" t="s">
        <v>583</v>
      </c>
      <c r="D92" t="s">
        <v>584</v>
      </c>
      <c r="E92" s="5"/>
      <c r="F92" s="5"/>
      <c r="G92" s="5"/>
      <c r="H92" s="5"/>
      <c r="I92" s="5">
        <v>207.06</v>
      </c>
      <c r="J92" s="5"/>
      <c r="K92" s="5"/>
      <c r="L92" s="5"/>
      <c r="M92" s="23" t="s">
        <v>68</v>
      </c>
    </row>
    <row r="93" spans="1:13" x14ac:dyDescent="0.25">
      <c r="A93" s="19">
        <v>45869</v>
      </c>
      <c r="B93" t="s">
        <v>35</v>
      </c>
      <c r="C93" t="s">
        <v>585</v>
      </c>
      <c r="D93" t="s">
        <v>586</v>
      </c>
      <c r="E93" s="5"/>
      <c r="F93" s="5"/>
      <c r="G93" s="5"/>
      <c r="H93" s="5"/>
      <c r="I93" s="5"/>
      <c r="J93" s="5"/>
      <c r="K93" s="5"/>
      <c r="L93" s="5">
        <v>241.44</v>
      </c>
      <c r="M93" s="23" t="s">
        <v>68</v>
      </c>
    </row>
    <row r="94" spans="1:13" x14ac:dyDescent="0.25">
      <c r="A94" s="19">
        <v>45869</v>
      </c>
      <c r="C94" t="s">
        <v>587</v>
      </c>
      <c r="D94" t="s">
        <v>588</v>
      </c>
      <c r="E94" s="5"/>
      <c r="F94" s="5"/>
      <c r="G94" s="5"/>
      <c r="H94" s="5"/>
      <c r="I94" s="5"/>
      <c r="J94" s="5"/>
      <c r="K94" s="5"/>
      <c r="L94" s="5">
        <v>24443.17</v>
      </c>
      <c r="M94" s="23" t="s">
        <v>68</v>
      </c>
    </row>
    <row r="95" spans="1:13" x14ac:dyDescent="0.25">
      <c r="A95" s="19">
        <v>45896</v>
      </c>
      <c r="C95" t="s">
        <v>589</v>
      </c>
      <c r="D95" t="s">
        <v>590</v>
      </c>
      <c r="E95" s="5"/>
      <c r="F95" s="5"/>
      <c r="G95" s="5"/>
      <c r="H95" s="5"/>
      <c r="I95" s="5">
        <v>91.06</v>
      </c>
      <c r="J95" s="5"/>
      <c r="K95" s="5"/>
      <c r="L95" s="5"/>
      <c r="M95" s="23" t="s">
        <v>68</v>
      </c>
    </row>
    <row r="96" spans="1:13" x14ac:dyDescent="0.25">
      <c r="A96" s="19">
        <v>45896</v>
      </c>
      <c r="B96" t="s">
        <v>35</v>
      </c>
      <c r="C96" t="s">
        <v>591</v>
      </c>
      <c r="D96" t="s">
        <v>592</v>
      </c>
      <c r="E96" s="5"/>
      <c r="F96" s="5"/>
      <c r="G96" s="5"/>
      <c r="H96" s="5"/>
      <c r="I96" s="5">
        <v>297.35000000000002</v>
      </c>
      <c r="J96" s="5"/>
      <c r="K96" s="5"/>
      <c r="L96" s="5"/>
      <c r="M96" s="23" t="s">
        <v>68</v>
      </c>
    </row>
    <row r="97" spans="1:13" x14ac:dyDescent="0.25">
      <c r="A97" s="19">
        <v>45896</v>
      </c>
      <c r="B97" t="s">
        <v>35</v>
      </c>
      <c r="C97" t="s">
        <v>593</v>
      </c>
      <c r="D97" t="s">
        <v>514</v>
      </c>
      <c r="E97" s="5"/>
      <c r="F97" s="5"/>
      <c r="G97" s="5"/>
      <c r="H97" s="5"/>
      <c r="I97" s="5"/>
      <c r="J97" s="5"/>
      <c r="K97" s="5"/>
      <c r="L97" s="5">
        <v>69.02</v>
      </c>
      <c r="M97" s="23" t="s">
        <v>68</v>
      </c>
    </row>
    <row r="98" spans="1:13" x14ac:dyDescent="0.25">
      <c r="A98" s="19">
        <v>45896</v>
      </c>
      <c r="C98" t="s">
        <v>594</v>
      </c>
      <c r="D98" t="s">
        <v>595</v>
      </c>
      <c r="E98" s="5"/>
      <c r="F98" s="5"/>
      <c r="G98" s="5"/>
      <c r="H98" s="5"/>
      <c r="I98" s="5">
        <v>2999.97</v>
      </c>
      <c r="J98" s="5"/>
      <c r="K98" s="5"/>
      <c r="L98" s="5"/>
      <c r="M98" s="23" t="s">
        <v>68</v>
      </c>
    </row>
    <row r="99" spans="1:13" x14ac:dyDescent="0.25">
      <c r="A99" s="19">
        <v>45896</v>
      </c>
      <c r="B99" t="s">
        <v>35</v>
      </c>
      <c r="C99" t="s">
        <v>596</v>
      </c>
      <c r="D99" t="s">
        <v>597</v>
      </c>
      <c r="E99" s="5"/>
      <c r="F99" s="5"/>
      <c r="G99" s="5"/>
      <c r="H99" s="5"/>
      <c r="I99" s="5"/>
      <c r="J99" s="5"/>
      <c r="K99" s="5"/>
      <c r="L99" s="5">
        <v>315.16000000000003</v>
      </c>
      <c r="M99" s="23" t="s">
        <v>68</v>
      </c>
    </row>
    <row r="100" spans="1:13" x14ac:dyDescent="0.25">
      <c r="A100" s="19">
        <v>45896</v>
      </c>
      <c r="C100" t="s">
        <v>598</v>
      </c>
      <c r="D100" t="s">
        <v>599</v>
      </c>
      <c r="E100" s="5"/>
      <c r="F100" s="5"/>
      <c r="G100" s="5"/>
      <c r="H100" s="5"/>
      <c r="I100" s="5">
        <v>87.22</v>
      </c>
      <c r="J100" s="5"/>
      <c r="K100" s="5"/>
      <c r="L100" s="5"/>
      <c r="M100" s="23" t="s">
        <v>68</v>
      </c>
    </row>
    <row r="101" spans="1:13" x14ac:dyDescent="0.25">
      <c r="A101" s="19">
        <v>45896</v>
      </c>
      <c r="C101" t="s">
        <v>600</v>
      </c>
      <c r="D101" t="s">
        <v>601</v>
      </c>
      <c r="E101" s="5"/>
      <c r="F101" s="5"/>
      <c r="G101" s="5"/>
      <c r="H101" s="5"/>
      <c r="I101" s="5"/>
      <c r="J101" s="5"/>
      <c r="K101" s="5"/>
      <c r="L101" s="5">
        <v>308.58999999999997</v>
      </c>
      <c r="M101" s="23" t="s">
        <v>68</v>
      </c>
    </row>
    <row r="102" spans="1:13" x14ac:dyDescent="0.25">
      <c r="A102" s="19">
        <v>45896</v>
      </c>
      <c r="B102" t="s">
        <v>35</v>
      </c>
      <c r="C102" t="s">
        <v>602</v>
      </c>
      <c r="D102" t="s">
        <v>603</v>
      </c>
      <c r="E102" s="5"/>
      <c r="F102" s="5"/>
      <c r="G102" s="5"/>
      <c r="H102" s="5"/>
      <c r="I102" s="5">
        <v>95.02</v>
      </c>
      <c r="J102" s="5"/>
      <c r="K102" s="5"/>
      <c r="L102" s="5"/>
      <c r="M102" s="23" t="s">
        <v>68</v>
      </c>
    </row>
    <row r="103" spans="1:13" x14ac:dyDescent="0.25">
      <c r="A103" s="19">
        <v>45896</v>
      </c>
      <c r="C103" t="s">
        <v>604</v>
      </c>
      <c r="D103" t="s">
        <v>605</v>
      </c>
      <c r="E103" s="5"/>
      <c r="F103" s="5"/>
      <c r="G103" s="5"/>
      <c r="H103" s="5"/>
      <c r="I103" s="5"/>
      <c r="J103" s="5"/>
      <c r="K103" s="5"/>
      <c r="L103" s="5">
        <v>1078.9100000000001</v>
      </c>
      <c r="M103" s="23" t="s">
        <v>68</v>
      </c>
    </row>
    <row r="104" spans="1:13" x14ac:dyDescent="0.25">
      <c r="A104" s="19">
        <v>45896</v>
      </c>
      <c r="C104" t="s">
        <v>606</v>
      </c>
      <c r="D104" t="s">
        <v>607</v>
      </c>
      <c r="E104" s="5"/>
      <c r="F104" s="5"/>
      <c r="G104" s="5"/>
      <c r="H104" s="5"/>
      <c r="I104" s="5">
        <v>1557.38</v>
      </c>
      <c r="J104" s="5"/>
      <c r="K104" s="5"/>
      <c r="L104" s="5"/>
      <c r="M104" s="23" t="s">
        <v>68</v>
      </c>
    </row>
    <row r="105" spans="1:13" x14ac:dyDescent="0.25">
      <c r="A105" s="19">
        <v>45896</v>
      </c>
      <c r="C105" t="s">
        <v>608</v>
      </c>
      <c r="D105" t="s">
        <v>609</v>
      </c>
      <c r="E105" s="5"/>
      <c r="F105" s="5"/>
      <c r="G105" s="5"/>
      <c r="H105" s="5"/>
      <c r="I105" s="5"/>
      <c r="J105" s="5"/>
      <c r="K105" s="5"/>
      <c r="L105" s="5">
        <v>568.17999999999995</v>
      </c>
      <c r="M105" s="23" t="s">
        <v>68</v>
      </c>
    </row>
    <row r="106" spans="1:13" x14ac:dyDescent="0.25">
      <c r="A106" s="19">
        <v>45896</v>
      </c>
      <c r="B106" t="s">
        <v>35</v>
      </c>
      <c r="C106" t="s">
        <v>610</v>
      </c>
      <c r="D106" t="s">
        <v>611</v>
      </c>
      <c r="E106" s="5"/>
      <c r="F106" s="5"/>
      <c r="G106" s="5"/>
      <c r="H106" s="5"/>
      <c r="I106" s="5"/>
      <c r="J106" s="5"/>
      <c r="K106" s="5"/>
      <c r="L106" s="5">
        <v>216.71</v>
      </c>
      <c r="M106" s="23" t="s">
        <v>68</v>
      </c>
    </row>
    <row r="107" spans="1:13" x14ac:dyDescent="0.25">
      <c r="A107" s="19">
        <v>45896</v>
      </c>
      <c r="C107" t="s">
        <v>612</v>
      </c>
      <c r="D107" t="s">
        <v>613</v>
      </c>
      <c r="E107" s="5"/>
      <c r="F107" s="5"/>
      <c r="G107" s="5"/>
      <c r="H107" s="5"/>
      <c r="I107" s="5">
        <v>34.51</v>
      </c>
      <c r="J107" s="5"/>
      <c r="K107" s="5"/>
      <c r="L107" s="5"/>
      <c r="M107" s="23" t="s">
        <v>68</v>
      </c>
    </row>
    <row r="108" spans="1:13" x14ac:dyDescent="0.25">
      <c r="A108" s="19">
        <v>45898</v>
      </c>
      <c r="B108" t="s">
        <v>35</v>
      </c>
      <c r="C108" t="s">
        <v>614</v>
      </c>
      <c r="D108" t="s">
        <v>615</v>
      </c>
      <c r="E108" s="5"/>
      <c r="F108" s="5"/>
      <c r="G108" s="5"/>
      <c r="H108" s="5"/>
      <c r="I108" s="5"/>
      <c r="J108" s="5"/>
      <c r="K108" s="5"/>
      <c r="L108" s="5">
        <v>69.02</v>
      </c>
      <c r="M108" s="23" t="s">
        <v>68</v>
      </c>
    </row>
    <row r="109" spans="1:13" x14ac:dyDescent="0.25">
      <c r="A109" s="19">
        <v>45898</v>
      </c>
      <c r="B109" t="s">
        <v>35</v>
      </c>
      <c r="C109" t="s">
        <v>616</v>
      </c>
      <c r="D109" t="s">
        <v>617</v>
      </c>
      <c r="E109" s="5"/>
      <c r="F109" s="5"/>
      <c r="G109" s="5"/>
      <c r="H109" s="5"/>
      <c r="I109" s="5">
        <v>34.51</v>
      </c>
      <c r="J109" s="5"/>
      <c r="K109" s="5"/>
      <c r="L109" s="5"/>
      <c r="M109" s="23" t="s">
        <v>68</v>
      </c>
    </row>
    <row r="110" spans="1:13" x14ac:dyDescent="0.25">
      <c r="A110" s="19">
        <v>45898</v>
      </c>
      <c r="B110" t="s">
        <v>35</v>
      </c>
      <c r="C110" t="s">
        <v>618</v>
      </c>
      <c r="D110" t="s">
        <v>496</v>
      </c>
      <c r="E110" s="5"/>
      <c r="F110" s="5"/>
      <c r="G110" s="5"/>
      <c r="H110" s="5"/>
      <c r="I110" s="5"/>
      <c r="J110" s="5"/>
      <c r="K110" s="5"/>
      <c r="L110" s="5">
        <v>351.65</v>
      </c>
      <c r="M110" s="23" t="s">
        <v>68</v>
      </c>
    </row>
    <row r="111" spans="1:13" x14ac:dyDescent="0.25">
      <c r="A111" s="19">
        <v>45898</v>
      </c>
      <c r="C111" t="s">
        <v>619</v>
      </c>
      <c r="D111" t="s">
        <v>620</v>
      </c>
      <c r="E111" s="5"/>
      <c r="F111" s="5"/>
      <c r="G111" s="5"/>
      <c r="H111" s="5"/>
      <c r="I111" s="5"/>
      <c r="J111" s="5"/>
      <c r="K111" s="5"/>
      <c r="L111" s="5">
        <v>86.39</v>
      </c>
      <c r="M111" s="23" t="s">
        <v>68</v>
      </c>
    </row>
    <row r="112" spans="1:13" x14ac:dyDescent="0.25">
      <c r="A112" s="19">
        <v>45898</v>
      </c>
      <c r="B112" t="s">
        <v>35</v>
      </c>
      <c r="C112" t="s">
        <v>621</v>
      </c>
      <c r="D112" t="s">
        <v>622</v>
      </c>
      <c r="E112" s="5"/>
      <c r="F112" s="5"/>
      <c r="G112" s="5"/>
      <c r="H112" s="5"/>
      <c r="I112" s="5">
        <v>41.83</v>
      </c>
      <c r="J112" s="5"/>
      <c r="K112" s="5"/>
      <c r="L112" s="5"/>
      <c r="M112" s="23" t="s">
        <v>68</v>
      </c>
    </row>
    <row r="113" spans="1:13" x14ac:dyDescent="0.25">
      <c r="A113" s="19">
        <v>45898</v>
      </c>
      <c r="C113" s="24" t="s">
        <v>623</v>
      </c>
      <c r="D113" t="s">
        <v>624</v>
      </c>
      <c r="E113" s="5"/>
      <c r="F113" s="5"/>
      <c r="G113" s="5"/>
      <c r="H113" s="5"/>
      <c r="I113" s="5">
        <v>110.93</v>
      </c>
      <c r="J113" s="5"/>
      <c r="K113" s="5"/>
      <c r="L113" s="5"/>
      <c r="M113" s="23" t="s">
        <v>68</v>
      </c>
    </row>
    <row r="114" spans="1:13" x14ac:dyDescent="0.25">
      <c r="A114" s="19">
        <v>45911</v>
      </c>
      <c r="C114" s="24" t="s">
        <v>625</v>
      </c>
      <c r="D114" t="s">
        <v>626</v>
      </c>
      <c r="E114" s="5"/>
      <c r="F114" s="5"/>
      <c r="G114" s="5"/>
      <c r="H114" s="5"/>
      <c r="I114" s="5">
        <v>618.80999999999995</v>
      </c>
      <c r="J114" s="5"/>
      <c r="K114" s="5"/>
      <c r="L114" s="5"/>
      <c r="M114" s="23" t="s">
        <v>68</v>
      </c>
    </row>
    <row r="115" spans="1:13" x14ac:dyDescent="0.25">
      <c r="A115" s="19">
        <v>45911</v>
      </c>
      <c r="B115" t="s">
        <v>35</v>
      </c>
      <c r="C115" s="24" t="s">
        <v>627</v>
      </c>
      <c r="D115" t="s">
        <v>628</v>
      </c>
      <c r="E115" s="5"/>
      <c r="F115" s="5"/>
      <c r="G115" s="5"/>
      <c r="H115" s="5"/>
      <c r="I115" s="5"/>
      <c r="J115" s="5"/>
      <c r="K115" s="5"/>
      <c r="L115" s="5">
        <v>945.76</v>
      </c>
      <c r="M115" s="23" t="s">
        <v>68</v>
      </c>
    </row>
    <row r="116" spans="1:13" x14ac:dyDescent="0.25">
      <c r="A116" s="19">
        <v>45911</v>
      </c>
      <c r="C116" s="24" t="s">
        <v>629</v>
      </c>
      <c r="D116" t="s">
        <v>630</v>
      </c>
      <c r="E116" s="5"/>
      <c r="F116" s="5"/>
      <c r="G116" s="5"/>
      <c r="H116" s="5"/>
      <c r="I116" s="5">
        <v>34.51</v>
      </c>
      <c r="J116" s="5"/>
      <c r="K116" s="5"/>
      <c r="L116" s="5"/>
      <c r="M116" s="23" t="s">
        <v>68</v>
      </c>
    </row>
    <row r="117" spans="1:13" x14ac:dyDescent="0.25">
      <c r="A117" s="19">
        <v>45911</v>
      </c>
      <c r="C117" s="24" t="s">
        <v>631</v>
      </c>
      <c r="D117" t="s">
        <v>632</v>
      </c>
      <c r="E117" s="5"/>
      <c r="F117" s="5"/>
      <c r="G117" s="5"/>
      <c r="H117" s="5"/>
      <c r="I117" s="5">
        <v>150.41999999999999</v>
      </c>
      <c r="J117" s="5"/>
      <c r="K117" s="5"/>
      <c r="L117" s="5"/>
      <c r="M117" s="23" t="s">
        <v>68</v>
      </c>
    </row>
    <row r="118" spans="1:13" x14ac:dyDescent="0.25">
      <c r="A118" s="19">
        <v>45911</v>
      </c>
      <c r="C118" s="24" t="s">
        <v>633</v>
      </c>
      <c r="D118" t="s">
        <v>634</v>
      </c>
      <c r="E118" s="5"/>
      <c r="F118" s="5"/>
      <c r="G118" s="5"/>
      <c r="H118" s="5"/>
      <c r="I118" s="5">
        <v>110</v>
      </c>
      <c r="J118" s="5"/>
      <c r="K118" s="5"/>
      <c r="L118" s="5"/>
      <c r="M118" s="23" t="s">
        <v>68</v>
      </c>
    </row>
    <row r="119" spans="1:13" x14ac:dyDescent="0.25">
      <c r="A119" s="19">
        <v>45911</v>
      </c>
      <c r="B119" t="s">
        <v>35</v>
      </c>
      <c r="C119" s="24" t="s">
        <v>635</v>
      </c>
      <c r="D119" t="s">
        <v>636</v>
      </c>
      <c r="E119" s="5"/>
      <c r="F119" s="5"/>
      <c r="G119" s="5"/>
      <c r="H119" s="5"/>
      <c r="I119" s="5">
        <v>69.02</v>
      </c>
      <c r="J119" s="5"/>
      <c r="K119" s="5"/>
      <c r="L119" s="5"/>
      <c r="M119" s="23" t="s">
        <v>68</v>
      </c>
    </row>
    <row r="120" spans="1:13" x14ac:dyDescent="0.25">
      <c r="A120" s="19">
        <v>45911</v>
      </c>
      <c r="C120" s="24" t="s">
        <v>637</v>
      </c>
      <c r="D120" t="s">
        <v>638</v>
      </c>
      <c r="E120" s="5"/>
      <c r="F120" s="5"/>
      <c r="G120" s="5"/>
      <c r="H120" s="5"/>
      <c r="I120" s="5"/>
      <c r="J120" s="5"/>
      <c r="K120" s="5"/>
      <c r="L120" s="5">
        <v>52.48</v>
      </c>
      <c r="M120" s="23" t="s">
        <v>68</v>
      </c>
    </row>
    <row r="121" spans="1:13" x14ac:dyDescent="0.25">
      <c r="A121" s="19">
        <v>45911</v>
      </c>
      <c r="C121" s="24" t="s">
        <v>639</v>
      </c>
      <c r="D121" t="s">
        <v>640</v>
      </c>
      <c r="E121" s="5"/>
      <c r="F121" s="5"/>
      <c r="G121" s="5"/>
      <c r="H121" s="5"/>
      <c r="I121" s="5">
        <v>69.02</v>
      </c>
      <c r="J121" s="5"/>
      <c r="K121" s="5"/>
      <c r="L121" s="5"/>
      <c r="M121" s="23" t="s">
        <v>68</v>
      </c>
    </row>
    <row r="122" spans="1:13" x14ac:dyDescent="0.25">
      <c r="A122" s="19">
        <v>45911</v>
      </c>
      <c r="B122" t="s">
        <v>35</v>
      </c>
      <c r="C122" s="24" t="s">
        <v>641</v>
      </c>
      <c r="D122" t="s">
        <v>642</v>
      </c>
      <c r="E122" s="5"/>
      <c r="F122" s="5"/>
      <c r="G122" s="5"/>
      <c r="H122" s="5"/>
      <c r="I122" s="5"/>
      <c r="J122" s="5"/>
      <c r="K122" s="5"/>
      <c r="L122" s="5">
        <v>266.98</v>
      </c>
      <c r="M122" s="23" t="s">
        <v>68</v>
      </c>
    </row>
    <row r="123" spans="1:13" x14ac:dyDescent="0.25">
      <c r="A123" s="19">
        <v>45911</v>
      </c>
      <c r="B123" t="s">
        <v>35</v>
      </c>
      <c r="C123" t="s">
        <v>643</v>
      </c>
      <c r="D123" t="s">
        <v>644</v>
      </c>
      <c r="E123" s="5"/>
      <c r="F123" s="5"/>
      <c r="G123" s="5"/>
      <c r="H123" s="5"/>
      <c r="I123" s="5"/>
      <c r="J123" s="5"/>
      <c r="K123" s="5"/>
      <c r="L123" s="5">
        <v>99.98</v>
      </c>
      <c r="M123" s="23" t="s">
        <v>68</v>
      </c>
    </row>
    <row r="124" spans="1:13" x14ac:dyDescent="0.25">
      <c r="A124" s="19">
        <v>45924</v>
      </c>
      <c r="C124" t="s">
        <v>645</v>
      </c>
      <c r="D124" t="s">
        <v>646</v>
      </c>
      <c r="E124" s="5"/>
      <c r="F124" s="5"/>
      <c r="G124" s="5" t="s">
        <v>647</v>
      </c>
      <c r="H124" s="5"/>
      <c r="I124" s="5">
        <v>1614.02</v>
      </c>
      <c r="J124" s="5"/>
      <c r="K124" s="5"/>
      <c r="L124" s="5"/>
      <c r="M124" s="23" t="s">
        <v>68</v>
      </c>
    </row>
    <row r="125" spans="1:13" x14ac:dyDescent="0.25">
      <c r="A125" s="19">
        <v>45924</v>
      </c>
      <c r="C125" t="s">
        <v>648</v>
      </c>
      <c r="D125" t="s">
        <v>649</v>
      </c>
      <c r="E125" s="5"/>
      <c r="F125" s="5"/>
      <c r="G125" s="5"/>
      <c r="H125" s="5"/>
      <c r="I125" s="5"/>
      <c r="J125" s="5"/>
      <c r="K125" s="5"/>
      <c r="L125" s="5"/>
      <c r="M125" s="23" t="s">
        <v>68</v>
      </c>
    </row>
    <row r="126" spans="1:13" x14ac:dyDescent="0.25">
      <c r="A126" s="19">
        <v>45924</v>
      </c>
      <c r="B126" t="s">
        <v>35</v>
      </c>
      <c r="C126" t="s">
        <v>650</v>
      </c>
      <c r="D126" t="s">
        <v>496</v>
      </c>
      <c r="E126" s="5"/>
      <c r="F126" s="5"/>
      <c r="G126" s="5"/>
      <c r="H126" s="5"/>
      <c r="I126" s="5">
        <v>69.02</v>
      </c>
      <c r="J126" s="5"/>
      <c r="K126" s="5"/>
      <c r="L126" s="5"/>
      <c r="M126" s="23" t="s">
        <v>68</v>
      </c>
    </row>
    <row r="127" spans="1:13" x14ac:dyDescent="0.25">
      <c r="A127" s="19">
        <v>45924</v>
      </c>
      <c r="C127" t="s">
        <v>651</v>
      </c>
      <c r="D127" t="s">
        <v>652</v>
      </c>
      <c r="E127" s="5"/>
      <c r="F127" s="5"/>
      <c r="G127" s="5"/>
      <c r="H127" s="5"/>
      <c r="I127" s="5">
        <v>260.57</v>
      </c>
      <c r="J127" s="5"/>
      <c r="K127" s="5"/>
      <c r="L127" s="5"/>
      <c r="M127" s="23" t="s">
        <v>68</v>
      </c>
    </row>
    <row r="128" spans="1:13" x14ac:dyDescent="0.25">
      <c r="A128" s="19">
        <v>45924</v>
      </c>
      <c r="B128" t="s">
        <v>35</v>
      </c>
      <c r="C128" t="s">
        <v>653</v>
      </c>
      <c r="D128" t="s">
        <v>654</v>
      </c>
      <c r="E128" s="5"/>
      <c r="F128" s="5"/>
      <c r="G128" s="5"/>
      <c r="H128" s="5"/>
      <c r="I128" s="5">
        <v>221.03</v>
      </c>
      <c r="J128" s="5"/>
      <c r="K128" s="5"/>
      <c r="L128" s="5"/>
      <c r="M128" s="23" t="s">
        <v>68</v>
      </c>
    </row>
    <row r="129" spans="1:13" x14ac:dyDescent="0.25">
      <c r="A129" s="19">
        <v>45924</v>
      </c>
      <c r="C129" t="s">
        <v>655</v>
      </c>
      <c r="D129" t="s">
        <v>656</v>
      </c>
      <c r="E129" s="5"/>
      <c r="F129" s="5"/>
      <c r="G129" s="5"/>
      <c r="H129" s="5"/>
      <c r="I129" s="5">
        <v>520.61</v>
      </c>
      <c r="J129" s="5"/>
      <c r="K129" s="5"/>
      <c r="L129" s="5"/>
      <c r="M129" s="23" t="s">
        <v>68</v>
      </c>
    </row>
    <row r="130" spans="1:13" x14ac:dyDescent="0.25">
      <c r="A130" s="19">
        <v>45924</v>
      </c>
      <c r="B130" t="s">
        <v>35</v>
      </c>
      <c r="C130" t="s">
        <v>657</v>
      </c>
      <c r="D130" t="s">
        <v>434</v>
      </c>
      <c r="E130" s="5"/>
      <c r="F130" s="5"/>
      <c r="G130" s="5"/>
      <c r="H130" s="5"/>
      <c r="I130" s="5">
        <v>34.51</v>
      </c>
      <c r="J130" s="5"/>
      <c r="K130" s="5"/>
      <c r="L130" s="5"/>
      <c r="M130" s="23" t="s">
        <v>68</v>
      </c>
    </row>
    <row r="131" spans="1:13" x14ac:dyDescent="0.25">
      <c r="A131" s="19">
        <v>45924</v>
      </c>
      <c r="B131" t="s">
        <v>35</v>
      </c>
      <c r="C131" t="s">
        <v>658</v>
      </c>
      <c r="D131" t="s">
        <v>659</v>
      </c>
      <c r="E131" s="5"/>
      <c r="F131" s="5"/>
      <c r="G131" s="5"/>
      <c r="H131" s="5"/>
      <c r="I131" s="5"/>
      <c r="J131" s="5"/>
      <c r="K131" s="5"/>
      <c r="L131" s="5">
        <v>679.53</v>
      </c>
      <c r="M131" s="23" t="s">
        <v>68</v>
      </c>
    </row>
    <row r="132" spans="1:13" x14ac:dyDescent="0.25">
      <c r="A132" s="19">
        <v>45924</v>
      </c>
      <c r="C132" t="s">
        <v>660</v>
      </c>
      <c r="D132" t="s">
        <v>661</v>
      </c>
      <c r="E132" s="5"/>
      <c r="F132" s="5"/>
      <c r="G132" s="5"/>
      <c r="H132" s="5"/>
      <c r="I132" s="5"/>
      <c r="J132" s="5"/>
      <c r="K132" s="5"/>
      <c r="L132" s="5">
        <v>185.64</v>
      </c>
      <c r="M132" s="23" t="s">
        <v>68</v>
      </c>
    </row>
    <row r="133" spans="1:13" x14ac:dyDescent="0.25">
      <c r="A133" s="19">
        <v>45924</v>
      </c>
      <c r="C133" t="s">
        <v>662</v>
      </c>
      <c r="D133" t="s">
        <v>663</v>
      </c>
      <c r="E133" s="5"/>
      <c r="F133" s="5"/>
      <c r="G133" s="5"/>
      <c r="H133" s="5"/>
      <c r="I133" s="5">
        <v>34.51</v>
      </c>
      <c r="J133" s="5"/>
      <c r="K133" s="5"/>
      <c r="L133" s="5"/>
      <c r="M133" s="23" t="s">
        <v>68</v>
      </c>
    </row>
    <row r="134" spans="1:13" x14ac:dyDescent="0.25">
      <c r="A134" s="19">
        <v>45929</v>
      </c>
      <c r="C134" t="s">
        <v>664</v>
      </c>
      <c r="D134" t="s">
        <v>665</v>
      </c>
      <c r="E134" s="5"/>
      <c r="F134" s="5"/>
      <c r="G134" s="5"/>
      <c r="H134" s="5"/>
      <c r="I134" s="5">
        <v>68.59</v>
      </c>
      <c r="J134" s="5"/>
      <c r="K134" s="5"/>
      <c r="L134" s="5"/>
      <c r="M134" s="23" t="s">
        <v>68</v>
      </c>
    </row>
    <row r="135" spans="1:13" x14ac:dyDescent="0.25">
      <c r="A135" s="19">
        <v>45929</v>
      </c>
      <c r="B135" t="s">
        <v>35</v>
      </c>
      <c r="C135" t="s">
        <v>666</v>
      </c>
      <c r="D135" t="s">
        <v>514</v>
      </c>
      <c r="E135" s="5"/>
      <c r="F135" s="5"/>
      <c r="G135" s="5"/>
      <c r="H135" s="5"/>
      <c r="I135" s="5">
        <v>69.02</v>
      </c>
      <c r="J135" s="5"/>
      <c r="K135" s="5"/>
      <c r="L135" s="5"/>
      <c r="M135" s="23" t="s">
        <v>68</v>
      </c>
    </row>
    <row r="136" spans="1:13" x14ac:dyDescent="0.25">
      <c r="A136" s="19">
        <v>45929</v>
      </c>
      <c r="C136" t="s">
        <v>667</v>
      </c>
      <c r="D136" t="s">
        <v>668</v>
      </c>
      <c r="E136" s="5"/>
      <c r="F136" s="5"/>
      <c r="G136" s="5"/>
      <c r="H136" s="5"/>
      <c r="I136" s="5">
        <v>1084.19</v>
      </c>
      <c r="J136" s="5"/>
      <c r="K136" s="5"/>
      <c r="L136" s="5"/>
      <c r="M136" s="23" t="s">
        <v>68</v>
      </c>
    </row>
    <row r="137" spans="1:13" x14ac:dyDescent="0.25">
      <c r="A137" s="19">
        <v>45929</v>
      </c>
      <c r="C137" t="s">
        <v>669</v>
      </c>
      <c r="D137" t="s">
        <v>670</v>
      </c>
      <c r="E137" s="5"/>
      <c r="F137" s="5"/>
      <c r="G137" s="5"/>
      <c r="H137" s="5"/>
      <c r="I137" s="5">
        <v>104.27</v>
      </c>
      <c r="J137" s="5"/>
      <c r="K137" s="5"/>
      <c r="L137" s="5"/>
      <c r="M137" s="23" t="s">
        <v>68</v>
      </c>
    </row>
    <row r="138" spans="1:13" x14ac:dyDescent="0.25">
      <c r="A138" s="19">
        <v>45952</v>
      </c>
      <c r="C138" t="s">
        <v>671</v>
      </c>
      <c r="D138" t="s">
        <v>672</v>
      </c>
      <c r="E138" s="5">
        <v>157.47999999999999</v>
      </c>
      <c r="F138" s="5"/>
      <c r="G138" s="5"/>
      <c r="H138" s="5"/>
      <c r="I138" s="5"/>
      <c r="J138" s="5"/>
      <c r="K138" s="5"/>
      <c r="L138" s="5"/>
      <c r="M138" s="23" t="s">
        <v>68</v>
      </c>
    </row>
    <row r="139" spans="1:13" x14ac:dyDescent="0.25">
      <c r="A139" s="19">
        <v>45952</v>
      </c>
      <c r="B139" t="s">
        <v>35</v>
      </c>
      <c r="C139" t="s">
        <v>673</v>
      </c>
      <c r="D139" t="s">
        <v>674</v>
      </c>
      <c r="E139" s="5"/>
      <c r="F139" s="5"/>
      <c r="G139" s="5"/>
      <c r="H139" s="5"/>
      <c r="I139" s="5">
        <v>69.02</v>
      </c>
      <c r="J139" s="5"/>
      <c r="K139" s="5"/>
      <c r="L139" s="5"/>
      <c r="M139" s="23" t="s">
        <v>68</v>
      </c>
    </row>
    <row r="140" spans="1:13" x14ac:dyDescent="0.25">
      <c r="A140" s="19">
        <v>45957</v>
      </c>
      <c r="C140" t="s">
        <v>675</v>
      </c>
      <c r="D140" t="s">
        <v>676</v>
      </c>
      <c r="E140" s="5"/>
      <c r="F140" s="5"/>
      <c r="G140" s="5"/>
      <c r="H140" s="5"/>
      <c r="I140" s="5">
        <v>34.51</v>
      </c>
      <c r="J140" s="5"/>
      <c r="K140" s="5"/>
      <c r="L140" s="5"/>
      <c r="M140" s="23" t="s">
        <v>68</v>
      </c>
    </row>
    <row r="141" spans="1:13" x14ac:dyDescent="0.25">
      <c r="A141" s="19">
        <v>45957</v>
      </c>
      <c r="C141" s="2" t="s">
        <v>677</v>
      </c>
      <c r="D141" t="s">
        <v>678</v>
      </c>
      <c r="E141" s="5"/>
      <c r="F141" s="5"/>
      <c r="G141" s="5"/>
      <c r="H141" s="5"/>
      <c r="I141" s="5"/>
      <c r="J141" s="5"/>
      <c r="K141" s="5"/>
      <c r="L141" s="5">
        <v>983.45</v>
      </c>
      <c r="M141" s="23" t="s">
        <v>68</v>
      </c>
    </row>
    <row r="142" spans="1:13" x14ac:dyDescent="0.25">
      <c r="A142" s="19">
        <v>45957</v>
      </c>
      <c r="B142" t="s">
        <v>35</v>
      </c>
      <c r="C142" s="2" t="s">
        <v>679</v>
      </c>
      <c r="D142" t="s">
        <v>680</v>
      </c>
      <c r="E142" s="5"/>
      <c r="F142" s="5"/>
      <c r="G142" s="5"/>
      <c r="H142" s="5"/>
      <c r="I142" s="5">
        <v>899.85</v>
      </c>
      <c r="J142" s="5"/>
      <c r="K142" s="5"/>
      <c r="L142" s="5"/>
      <c r="M142" s="23" t="s">
        <v>68</v>
      </c>
    </row>
    <row r="143" spans="1:13" x14ac:dyDescent="0.25">
      <c r="A143" s="19">
        <v>45960</v>
      </c>
      <c r="C143" s="2" t="s">
        <v>681</v>
      </c>
      <c r="D143" t="s">
        <v>682</v>
      </c>
      <c r="E143" s="5"/>
      <c r="F143" s="5"/>
      <c r="G143" s="5"/>
      <c r="H143" s="5"/>
      <c r="I143" s="5"/>
      <c r="J143" s="5"/>
      <c r="K143" s="5"/>
      <c r="L143" s="5">
        <v>534.67999999999995</v>
      </c>
      <c r="M143" s="23" t="s">
        <v>68</v>
      </c>
    </row>
    <row r="144" spans="1:13" x14ac:dyDescent="0.25">
      <c r="A144" s="19">
        <v>45960</v>
      </c>
      <c r="C144" s="2" t="s">
        <v>683</v>
      </c>
      <c r="D144" t="s">
        <v>684</v>
      </c>
      <c r="E144" s="5"/>
      <c r="F144" s="5"/>
      <c r="G144" s="5"/>
      <c r="H144" s="5"/>
      <c r="I144" s="5">
        <v>1564.26</v>
      </c>
      <c r="J144" s="5"/>
      <c r="K144" s="5"/>
      <c r="L144" s="5"/>
      <c r="M144" s="23" t="s">
        <v>68</v>
      </c>
    </row>
    <row r="145" spans="1:13" x14ac:dyDescent="0.25">
      <c r="A145" s="19">
        <v>45960</v>
      </c>
      <c r="B145" t="s">
        <v>35</v>
      </c>
      <c r="C145" s="2" t="s">
        <v>685</v>
      </c>
      <c r="D145" t="s">
        <v>686</v>
      </c>
      <c r="E145" s="5"/>
      <c r="F145" s="5"/>
      <c r="G145" s="5"/>
      <c r="H145" s="5"/>
      <c r="I145" s="5">
        <v>17.850000000000001</v>
      </c>
      <c r="J145" s="5"/>
      <c r="K145" s="5"/>
      <c r="L145" s="5"/>
      <c r="M145" s="23" t="s">
        <v>68</v>
      </c>
    </row>
    <row r="146" spans="1:13" x14ac:dyDescent="0.25">
      <c r="A146" s="19">
        <v>45960</v>
      </c>
      <c r="B146" t="s">
        <v>35</v>
      </c>
      <c r="C146" s="2" t="s">
        <v>687</v>
      </c>
      <c r="D146" t="s">
        <v>688</v>
      </c>
      <c r="E146" s="5"/>
      <c r="F146" s="5"/>
      <c r="G146" s="5"/>
      <c r="H146" s="5"/>
      <c r="I146" s="5"/>
      <c r="J146" s="5"/>
      <c r="K146" s="5"/>
      <c r="L146" s="5">
        <v>1854.25</v>
      </c>
      <c r="M146" s="23" t="s">
        <v>68</v>
      </c>
    </row>
    <row r="147" spans="1:13" x14ac:dyDescent="0.25">
      <c r="A147" s="19">
        <v>45960</v>
      </c>
      <c r="B147" t="s">
        <v>35</v>
      </c>
      <c r="C147" s="2" t="s">
        <v>689</v>
      </c>
      <c r="D147" t="s">
        <v>690</v>
      </c>
      <c r="E147" s="5"/>
      <c r="F147" s="5"/>
      <c r="G147" s="5"/>
      <c r="H147" s="5"/>
      <c r="I147" s="5">
        <v>69.02</v>
      </c>
      <c r="J147" s="5"/>
      <c r="K147" s="5"/>
      <c r="L147" s="5"/>
      <c r="M147" s="23" t="s">
        <v>68</v>
      </c>
    </row>
    <row r="148" spans="1:13" x14ac:dyDescent="0.25">
      <c r="A148" s="19">
        <v>45960</v>
      </c>
      <c r="C148" s="2" t="s">
        <v>691</v>
      </c>
      <c r="D148" t="s">
        <v>692</v>
      </c>
      <c r="E148" s="5"/>
      <c r="F148" s="5"/>
      <c r="G148" s="5"/>
      <c r="H148" s="5"/>
      <c r="I148" s="5">
        <v>346.42</v>
      </c>
      <c r="J148" s="5"/>
      <c r="K148" s="5"/>
      <c r="L148" s="5"/>
      <c r="M148" s="23" t="s">
        <v>68</v>
      </c>
    </row>
    <row r="149" spans="1:13" x14ac:dyDescent="0.25">
      <c r="A149" s="19">
        <v>45960</v>
      </c>
      <c r="B149" t="s">
        <v>35</v>
      </c>
      <c r="C149" s="2" t="s">
        <v>693</v>
      </c>
      <c r="D149" t="s">
        <v>694</v>
      </c>
      <c r="E149" s="5"/>
      <c r="F149" s="5"/>
      <c r="G149" s="5"/>
      <c r="H149" s="5"/>
      <c r="I149" s="5"/>
      <c r="J149" s="5"/>
      <c r="K149" s="5"/>
      <c r="L149" s="5">
        <v>69.02</v>
      </c>
      <c r="M149" s="23" t="s">
        <v>68</v>
      </c>
    </row>
    <row r="150" spans="1:13" x14ac:dyDescent="0.25">
      <c r="A150" s="19">
        <v>45960</v>
      </c>
      <c r="B150" t="s">
        <v>35</v>
      </c>
      <c r="C150" s="2" t="s">
        <v>695</v>
      </c>
      <c r="D150" t="s">
        <v>696</v>
      </c>
      <c r="E150" s="5"/>
      <c r="F150" s="5"/>
      <c r="G150" s="5"/>
      <c r="H150" s="5"/>
      <c r="I150" s="5">
        <v>69.02</v>
      </c>
      <c r="J150" s="5"/>
      <c r="K150" s="5"/>
      <c r="L150" s="5"/>
      <c r="M150" s="23" t="s">
        <v>68</v>
      </c>
    </row>
    <row r="151" spans="1:13" x14ac:dyDescent="0.25">
      <c r="A151" s="19">
        <v>45960</v>
      </c>
      <c r="B151" t="s">
        <v>35</v>
      </c>
      <c r="C151" s="2" t="s">
        <v>697</v>
      </c>
      <c r="D151" t="s">
        <v>698</v>
      </c>
      <c r="E151" s="5"/>
      <c r="F151" s="5"/>
      <c r="G151" s="5"/>
      <c r="H151" s="5"/>
      <c r="I151" s="5"/>
      <c r="J151" s="5"/>
      <c r="K151" s="5"/>
      <c r="L151" s="5">
        <v>69.02</v>
      </c>
      <c r="M151" s="23" t="s">
        <v>68</v>
      </c>
    </row>
    <row r="152" spans="1:13" x14ac:dyDescent="0.25">
      <c r="A152" s="19">
        <v>45960</v>
      </c>
      <c r="C152" s="2" t="s">
        <v>699</v>
      </c>
      <c r="D152" t="s">
        <v>700</v>
      </c>
      <c r="E152" s="5"/>
      <c r="F152" s="5"/>
      <c r="G152" s="5"/>
      <c r="H152" s="5"/>
      <c r="I152" s="5">
        <v>80.099999999999994</v>
      </c>
      <c r="J152" s="5"/>
      <c r="K152" s="5"/>
      <c r="L152" s="5"/>
      <c r="M152" s="23" t="s">
        <v>68</v>
      </c>
    </row>
    <row r="153" spans="1:13" x14ac:dyDescent="0.25">
      <c r="A153" s="19">
        <v>45982</v>
      </c>
      <c r="B153" t="s">
        <v>35</v>
      </c>
      <c r="C153" s="2" t="s">
        <v>701</v>
      </c>
      <c r="D153" t="s">
        <v>702</v>
      </c>
      <c r="E153" s="5"/>
      <c r="F153" s="5"/>
      <c r="G153" s="5"/>
      <c r="H153" s="5"/>
      <c r="I153" s="5">
        <v>107.66</v>
      </c>
      <c r="J153" s="5"/>
      <c r="K153" s="5"/>
      <c r="L153" s="5"/>
      <c r="M153" s="23" t="s">
        <v>68</v>
      </c>
    </row>
    <row r="154" spans="1:13" x14ac:dyDescent="0.25">
      <c r="A154" s="19">
        <v>45982</v>
      </c>
      <c r="B154" t="s">
        <v>35</v>
      </c>
      <c r="C154" t="s">
        <v>703</v>
      </c>
      <c r="D154" t="s">
        <v>704</v>
      </c>
      <c r="E154" s="5"/>
      <c r="F154" s="5"/>
      <c r="G154" s="5"/>
      <c r="H154" s="5"/>
      <c r="I154" s="5"/>
      <c r="J154" s="5"/>
      <c r="K154" s="5"/>
      <c r="L154" s="5">
        <v>109.78</v>
      </c>
      <c r="M154" s="23" t="s">
        <v>68</v>
      </c>
    </row>
    <row r="155" spans="1:13" x14ac:dyDescent="0.25">
      <c r="A155" s="19">
        <v>45982</v>
      </c>
      <c r="B155" t="s">
        <v>35</v>
      </c>
      <c r="C155" s="2" t="s">
        <v>705</v>
      </c>
      <c r="D155" t="s">
        <v>706</v>
      </c>
      <c r="E155" s="5"/>
      <c r="F155" s="5"/>
      <c r="G155" s="5"/>
      <c r="H155" s="5"/>
      <c r="I155" s="5">
        <v>69.02</v>
      </c>
      <c r="J155" s="5"/>
      <c r="K155" s="5"/>
      <c r="L155" s="5"/>
      <c r="M155" s="23" t="s">
        <v>68</v>
      </c>
    </row>
    <row r="156" spans="1:13" x14ac:dyDescent="0.25">
      <c r="A156" s="19">
        <v>45982</v>
      </c>
      <c r="B156" t="s">
        <v>35</v>
      </c>
      <c r="C156" s="2" t="s">
        <v>707</v>
      </c>
      <c r="D156" t="s">
        <v>708</v>
      </c>
      <c r="E156" s="5"/>
      <c r="F156" s="5"/>
      <c r="G156" s="5"/>
      <c r="H156" s="5"/>
      <c r="I156" s="5">
        <v>1194.31</v>
      </c>
      <c r="J156" s="5"/>
      <c r="K156" s="5"/>
      <c r="L156" s="5"/>
      <c r="M156" s="23" t="s">
        <v>68</v>
      </c>
    </row>
    <row r="157" spans="1:13" x14ac:dyDescent="0.25">
      <c r="A157" s="19">
        <v>45982</v>
      </c>
      <c r="C157" s="2" t="s">
        <v>709</v>
      </c>
      <c r="D157" t="s">
        <v>710</v>
      </c>
      <c r="E157" s="5"/>
      <c r="F157" s="5"/>
      <c r="G157" s="5"/>
      <c r="H157" s="5"/>
      <c r="I157" s="5">
        <v>70.83</v>
      </c>
      <c r="J157" s="5"/>
      <c r="K157" s="5"/>
      <c r="L157" s="5"/>
      <c r="M157" s="23" t="s">
        <v>68</v>
      </c>
    </row>
    <row r="158" spans="1:13" x14ac:dyDescent="0.25">
      <c r="A158" s="19">
        <v>45982</v>
      </c>
      <c r="B158" t="s">
        <v>35</v>
      </c>
      <c r="C158" s="2" t="s">
        <v>711</v>
      </c>
      <c r="D158" t="s">
        <v>712</v>
      </c>
      <c r="E158" s="5"/>
      <c r="F158" s="5"/>
      <c r="G158" s="5"/>
      <c r="H158" s="5"/>
      <c r="I158" s="5"/>
      <c r="J158" s="5"/>
      <c r="K158" s="5"/>
      <c r="L158" s="5">
        <v>1194.5</v>
      </c>
      <c r="M158" s="23" t="s">
        <v>68</v>
      </c>
    </row>
    <row r="159" spans="1:13" x14ac:dyDescent="0.25">
      <c r="A159" s="19">
        <v>45982</v>
      </c>
      <c r="C159" s="24" t="s">
        <v>713</v>
      </c>
      <c r="D159" t="s">
        <v>714</v>
      </c>
      <c r="E159" s="5">
        <v>349.05</v>
      </c>
      <c r="F159" s="5"/>
      <c r="G159" s="5"/>
      <c r="H159" s="5"/>
      <c r="I159" s="5"/>
      <c r="J159" s="5"/>
      <c r="K159" s="5"/>
      <c r="L159" s="5"/>
      <c r="M159" s="23" t="s">
        <v>68</v>
      </c>
    </row>
    <row r="160" spans="1:13" x14ac:dyDescent="0.25">
      <c r="A160" s="19">
        <v>45982</v>
      </c>
      <c r="B160" t="s">
        <v>35</v>
      </c>
      <c r="C160" s="24" t="s">
        <v>715</v>
      </c>
      <c r="D160" t="s">
        <v>702</v>
      </c>
      <c r="E160" s="5"/>
      <c r="F160" s="5"/>
      <c r="G160" s="5"/>
      <c r="H160" s="5"/>
      <c r="I160" s="5">
        <v>107.66</v>
      </c>
      <c r="J160" s="5"/>
      <c r="K160" s="5"/>
      <c r="L160" s="5"/>
      <c r="M160" s="23" t="s">
        <v>68</v>
      </c>
    </row>
    <row r="161" spans="1:13" x14ac:dyDescent="0.25">
      <c r="A161" s="19">
        <v>45982</v>
      </c>
      <c r="B161" t="s">
        <v>35</v>
      </c>
      <c r="C161" s="2" t="s">
        <v>716</v>
      </c>
      <c r="D161" t="s">
        <v>717</v>
      </c>
      <c r="E161" s="5"/>
      <c r="F161" s="5"/>
      <c r="G161" s="5"/>
      <c r="H161" s="5"/>
      <c r="I161" s="5"/>
      <c r="J161" s="5"/>
      <c r="K161" s="5"/>
      <c r="L161" s="5">
        <v>69.02</v>
      </c>
      <c r="M161" s="23" t="s">
        <v>68</v>
      </c>
    </row>
    <row r="162" spans="1:13" x14ac:dyDescent="0.25">
      <c r="A162" s="19">
        <v>45982</v>
      </c>
      <c r="B162" t="s">
        <v>35</v>
      </c>
      <c r="C162" s="2" t="s">
        <v>718</v>
      </c>
      <c r="D162" t="s">
        <v>719</v>
      </c>
      <c r="E162" s="5"/>
      <c r="F162" s="5"/>
      <c r="G162" s="5"/>
      <c r="H162" s="5"/>
      <c r="I162" s="5"/>
      <c r="J162" s="5"/>
      <c r="K162" s="5"/>
      <c r="L162" s="5">
        <v>327.54000000000002</v>
      </c>
      <c r="M162" s="23" t="s">
        <v>68</v>
      </c>
    </row>
    <row r="163" spans="1:13" x14ac:dyDescent="0.25">
      <c r="A163" s="19">
        <v>45982</v>
      </c>
      <c r="B163" t="s">
        <v>35</v>
      </c>
      <c r="C163" s="2" t="s">
        <v>720</v>
      </c>
      <c r="D163" t="s">
        <v>721</v>
      </c>
      <c r="E163" s="5"/>
      <c r="F163" s="5"/>
      <c r="G163" s="5"/>
      <c r="H163" s="5"/>
      <c r="I163" s="5">
        <v>323.36</v>
      </c>
      <c r="J163" s="5"/>
      <c r="K163" s="5"/>
      <c r="L163" s="5"/>
      <c r="M163" s="23" t="s">
        <v>68</v>
      </c>
    </row>
    <row r="164" spans="1:13" x14ac:dyDescent="0.25">
      <c r="A164" s="19">
        <v>45982</v>
      </c>
      <c r="C164" s="2" t="s">
        <v>722</v>
      </c>
      <c r="D164" t="s">
        <v>723</v>
      </c>
      <c r="E164" s="5"/>
      <c r="F164" s="5"/>
      <c r="G164" s="5">
        <v>621.47</v>
      </c>
      <c r="H164" s="5"/>
      <c r="I164" s="5"/>
      <c r="J164" s="5"/>
      <c r="K164" s="5"/>
      <c r="L164" s="5"/>
      <c r="M164" s="23" t="s">
        <v>68</v>
      </c>
    </row>
    <row r="165" spans="1:13" x14ac:dyDescent="0.25">
      <c r="A165" s="19">
        <v>45988</v>
      </c>
      <c r="C165" s="2" t="s">
        <v>724</v>
      </c>
      <c r="D165" t="s">
        <v>725</v>
      </c>
      <c r="E165" s="5"/>
      <c r="F165" s="5"/>
      <c r="G165" s="5"/>
      <c r="H165" s="5"/>
      <c r="I165" s="5"/>
      <c r="J165" s="5">
        <v>95.85</v>
      </c>
      <c r="K165" s="5"/>
      <c r="L165" s="5"/>
      <c r="M165" s="23" t="s">
        <v>68</v>
      </c>
    </row>
    <row r="166" spans="1:13" x14ac:dyDescent="0.25">
      <c r="A166" s="19">
        <v>45989</v>
      </c>
      <c r="C166" s="2" t="s">
        <v>726</v>
      </c>
      <c r="D166" t="s">
        <v>727</v>
      </c>
      <c r="E166" s="5"/>
      <c r="F166" s="5"/>
      <c r="G166" s="5"/>
      <c r="H166" s="5"/>
      <c r="I166" s="5">
        <v>267.98</v>
      </c>
      <c r="J166" s="5"/>
      <c r="K166" s="5"/>
      <c r="L166" s="5"/>
      <c r="M166" s="23" t="s">
        <v>68</v>
      </c>
    </row>
    <row r="167" spans="1:13" x14ac:dyDescent="0.25">
      <c r="A167" s="19">
        <v>45989</v>
      </c>
      <c r="B167" t="s">
        <v>35</v>
      </c>
      <c r="C167" s="2" t="s">
        <v>728</v>
      </c>
      <c r="D167" t="s">
        <v>729</v>
      </c>
      <c r="E167" s="5"/>
      <c r="F167" s="5"/>
      <c r="G167" s="5"/>
      <c r="H167" s="5"/>
      <c r="I167" s="5">
        <v>555.79999999999995</v>
      </c>
      <c r="J167" s="5"/>
      <c r="K167" s="5"/>
      <c r="L167" s="5"/>
      <c r="M167" s="23" t="s">
        <v>68</v>
      </c>
    </row>
    <row r="168" spans="1:13" x14ac:dyDescent="0.25">
      <c r="A168" s="19">
        <v>45989</v>
      </c>
      <c r="B168" t="s">
        <v>35</v>
      </c>
      <c r="C168" s="2" t="s">
        <v>730</v>
      </c>
      <c r="D168" t="s">
        <v>731</v>
      </c>
      <c r="E168" s="5"/>
      <c r="F168" s="5"/>
      <c r="G168" s="5"/>
      <c r="H168" s="5"/>
      <c r="I168" s="5"/>
      <c r="J168" s="5"/>
      <c r="K168" s="5"/>
      <c r="L168" s="5">
        <v>538.86</v>
      </c>
      <c r="M168" s="23" t="s">
        <v>68</v>
      </c>
    </row>
    <row r="169" spans="1:13" x14ac:dyDescent="0.25">
      <c r="A169" s="19">
        <v>45989</v>
      </c>
      <c r="B169" t="s">
        <v>35</v>
      </c>
      <c r="C169" s="2" t="s">
        <v>732</v>
      </c>
      <c r="D169" t="s">
        <v>733</v>
      </c>
      <c r="E169" s="5"/>
      <c r="F169" s="5"/>
      <c r="G169" s="5"/>
      <c r="H169" s="5"/>
      <c r="I169" s="5"/>
      <c r="J169" s="5"/>
      <c r="K169" s="5"/>
      <c r="L169" s="5">
        <v>91.53</v>
      </c>
      <c r="M169" s="23" t="s">
        <v>68</v>
      </c>
    </row>
    <row r="170" spans="1:13" x14ac:dyDescent="0.25">
      <c r="A170" s="19">
        <v>45989</v>
      </c>
      <c r="B170" t="s">
        <v>35</v>
      </c>
      <c r="C170" s="2" t="s">
        <v>734</v>
      </c>
      <c r="D170" t="s">
        <v>735</v>
      </c>
      <c r="E170" s="5"/>
      <c r="F170" s="5"/>
      <c r="G170" s="5"/>
      <c r="H170" s="5"/>
      <c r="I170" s="5">
        <v>93.51</v>
      </c>
      <c r="J170" s="5"/>
      <c r="K170" s="5"/>
      <c r="L170" s="5"/>
      <c r="M170" s="23" t="s">
        <v>68</v>
      </c>
    </row>
    <row r="171" spans="1:13" x14ac:dyDescent="0.25">
      <c r="A171" s="2">
        <v>46009</v>
      </c>
      <c r="B171" t="s">
        <v>35</v>
      </c>
      <c r="C171" s="2" t="s">
        <v>736</v>
      </c>
      <c r="D171" t="s">
        <v>737</v>
      </c>
      <c r="E171" s="5"/>
      <c r="F171" s="5"/>
      <c r="G171" s="5"/>
      <c r="H171" s="5"/>
      <c r="I171" s="5">
        <v>54.82</v>
      </c>
      <c r="J171" s="5"/>
      <c r="K171" s="5"/>
      <c r="L171" s="5"/>
      <c r="M171" s="23" t="s">
        <v>68</v>
      </c>
    </row>
    <row r="172" spans="1:13" x14ac:dyDescent="0.25">
      <c r="A172" s="2">
        <v>46009</v>
      </c>
      <c r="B172" t="s">
        <v>35</v>
      </c>
      <c r="C172" s="2" t="s">
        <v>738</v>
      </c>
      <c r="D172" t="s">
        <v>739</v>
      </c>
      <c r="E172" s="5"/>
      <c r="F172" s="5"/>
      <c r="G172" s="5"/>
      <c r="H172" s="5"/>
      <c r="I172" s="5"/>
      <c r="J172" s="5"/>
      <c r="K172" s="5"/>
      <c r="L172" s="5">
        <v>263.51</v>
      </c>
      <c r="M172" s="23" t="s">
        <v>68</v>
      </c>
    </row>
    <row r="173" spans="1:13" x14ac:dyDescent="0.25">
      <c r="A173" s="2">
        <v>46009</v>
      </c>
      <c r="B173" t="s">
        <v>35</v>
      </c>
      <c r="C173" s="2" t="s">
        <v>740</v>
      </c>
      <c r="D173" t="s">
        <v>741</v>
      </c>
      <c r="E173" s="5"/>
      <c r="F173" s="5"/>
      <c r="G173" s="5"/>
      <c r="H173" s="5"/>
      <c r="I173" s="5"/>
      <c r="J173" s="5"/>
      <c r="K173" s="5"/>
      <c r="L173" s="5">
        <v>83.42</v>
      </c>
      <c r="M173" s="23" t="s">
        <v>68</v>
      </c>
    </row>
    <row r="174" spans="1:13" x14ac:dyDescent="0.25">
      <c r="A174" s="2">
        <v>46009</v>
      </c>
      <c r="B174" t="s">
        <v>35</v>
      </c>
      <c r="C174" s="2" t="s">
        <v>742</v>
      </c>
      <c r="D174" t="s">
        <v>743</v>
      </c>
      <c r="E174" s="5"/>
      <c r="F174" s="5"/>
      <c r="G174" s="5"/>
      <c r="H174" s="5"/>
      <c r="I174" s="5">
        <v>83.42</v>
      </c>
      <c r="J174" s="5"/>
      <c r="K174" s="5"/>
      <c r="L174" s="5"/>
      <c r="M174" s="23" t="s">
        <v>68</v>
      </c>
    </row>
    <row r="175" spans="1:13" x14ac:dyDescent="0.25">
      <c r="A175" s="2">
        <v>46009</v>
      </c>
      <c r="C175" s="2" t="s">
        <v>744</v>
      </c>
      <c r="D175" t="s">
        <v>745</v>
      </c>
      <c r="E175" s="5"/>
      <c r="F175" s="5"/>
      <c r="G175" s="5"/>
      <c r="H175" s="5"/>
      <c r="I175" s="5">
        <v>84.5</v>
      </c>
      <c r="J175" s="5"/>
      <c r="K175" s="5"/>
      <c r="L175" s="5"/>
      <c r="M175" s="23" t="s">
        <v>68</v>
      </c>
    </row>
    <row r="176" spans="1:13" x14ac:dyDescent="0.25">
      <c r="A176" s="2">
        <v>46009</v>
      </c>
      <c r="B176" t="s">
        <v>35</v>
      </c>
      <c r="C176" s="2" t="s">
        <v>746</v>
      </c>
      <c r="D176" t="s">
        <v>747</v>
      </c>
      <c r="E176" s="5"/>
      <c r="F176" s="5"/>
      <c r="G176" s="5"/>
      <c r="H176" s="5"/>
      <c r="I176" s="5">
        <v>235.75</v>
      </c>
      <c r="J176" s="5"/>
      <c r="K176" s="5"/>
      <c r="L176" s="5"/>
      <c r="M176" s="23" t="s">
        <v>68</v>
      </c>
    </row>
    <row r="177" spans="1:13" x14ac:dyDescent="0.25">
      <c r="A177" s="2">
        <v>46009</v>
      </c>
      <c r="B177" t="s">
        <v>35</v>
      </c>
      <c r="C177" s="2" t="s">
        <v>748</v>
      </c>
      <c r="D177" t="s">
        <v>749</v>
      </c>
      <c r="E177" s="5"/>
      <c r="F177" s="5"/>
      <c r="G177" s="5"/>
      <c r="H177" s="5"/>
      <c r="I177" s="5"/>
      <c r="J177" s="5"/>
      <c r="K177" s="5"/>
      <c r="L177" s="5">
        <v>245.2</v>
      </c>
      <c r="M177" s="23" t="s">
        <v>68</v>
      </c>
    </row>
    <row r="178" spans="1:13" x14ac:dyDescent="0.25">
      <c r="A178" s="2">
        <v>46009</v>
      </c>
      <c r="B178" t="s">
        <v>35</v>
      </c>
      <c r="C178" s="2" t="s">
        <v>750</v>
      </c>
      <c r="D178" t="s">
        <v>751</v>
      </c>
      <c r="E178" s="5"/>
      <c r="F178" s="5"/>
      <c r="G178" s="5"/>
      <c r="H178" s="5"/>
      <c r="I178" s="5">
        <v>563.45000000000005</v>
      </c>
      <c r="J178" s="5"/>
      <c r="K178" s="5"/>
      <c r="L178" s="5"/>
      <c r="M178" s="23" t="s">
        <v>68</v>
      </c>
    </row>
    <row r="179" spans="1:13" x14ac:dyDescent="0.25">
      <c r="A179" s="2">
        <v>46009</v>
      </c>
      <c r="B179" t="s">
        <v>35</v>
      </c>
      <c r="C179" s="2" t="s">
        <v>752</v>
      </c>
      <c r="D179" t="s">
        <v>753</v>
      </c>
      <c r="E179" s="5"/>
      <c r="F179" s="5"/>
      <c r="G179" s="5"/>
      <c r="H179" s="5"/>
      <c r="I179" s="5"/>
      <c r="J179" s="5"/>
      <c r="K179" s="5"/>
      <c r="L179" s="5">
        <v>587.98</v>
      </c>
      <c r="M179" s="23" t="s">
        <v>68</v>
      </c>
    </row>
    <row r="180" spans="1:13" x14ac:dyDescent="0.25">
      <c r="A180" s="2">
        <v>46009</v>
      </c>
      <c r="C180" s="2" t="s">
        <v>754</v>
      </c>
      <c r="D180" t="s">
        <v>755</v>
      </c>
      <c r="I180" s="5">
        <v>294.27999999999997</v>
      </c>
      <c r="M180" s="23" t="s">
        <v>68</v>
      </c>
    </row>
    <row r="181" spans="1:13" x14ac:dyDescent="0.25">
      <c r="A181" s="2">
        <v>46009</v>
      </c>
      <c r="B181" t="s">
        <v>35</v>
      </c>
      <c r="C181" s="2" t="s">
        <v>756</v>
      </c>
      <c r="D181" t="s">
        <v>757</v>
      </c>
      <c r="L181">
        <v>487.71</v>
      </c>
      <c r="M181" s="23" t="s">
        <v>68</v>
      </c>
    </row>
    <row r="182" spans="1:13" x14ac:dyDescent="0.25">
      <c r="A182" s="2">
        <v>46009</v>
      </c>
      <c r="B182" t="s">
        <v>35</v>
      </c>
      <c r="C182" s="2" t="s">
        <v>758</v>
      </c>
      <c r="D182" t="s">
        <v>759</v>
      </c>
      <c r="I182" s="5">
        <v>473.23</v>
      </c>
      <c r="M182" s="23" t="s">
        <v>68</v>
      </c>
    </row>
    <row r="183" spans="1:13" x14ac:dyDescent="0.25">
      <c r="A183" s="19">
        <v>46009</v>
      </c>
      <c r="B183" t="s">
        <v>35</v>
      </c>
      <c r="C183" s="2" t="s">
        <v>760</v>
      </c>
      <c r="D183" t="s">
        <v>761</v>
      </c>
      <c r="E183" s="5"/>
      <c r="F183" s="5"/>
      <c r="G183" s="5"/>
      <c r="H183" s="5"/>
      <c r="I183" s="5">
        <v>34.51</v>
      </c>
      <c r="J183" s="5"/>
      <c r="K183" s="5"/>
      <c r="L183" s="5"/>
      <c r="M183" s="23" t="s">
        <v>68</v>
      </c>
    </row>
    <row r="184" spans="1:13" x14ac:dyDescent="0.25">
      <c r="A184" s="19">
        <v>46009</v>
      </c>
      <c r="B184" t="s">
        <v>35</v>
      </c>
      <c r="C184" s="2" t="s">
        <v>762</v>
      </c>
      <c r="D184" t="s">
        <v>763</v>
      </c>
      <c r="E184" s="5"/>
      <c r="F184" s="5"/>
      <c r="G184" s="5"/>
      <c r="H184" s="5"/>
      <c r="I184" s="5"/>
      <c r="J184" s="5"/>
      <c r="K184" s="5"/>
      <c r="L184" s="5">
        <v>34.51</v>
      </c>
      <c r="M184" s="23" t="s">
        <v>68</v>
      </c>
    </row>
    <row r="185" spans="1:13" x14ac:dyDescent="0.25">
      <c r="A185" s="19">
        <v>46009</v>
      </c>
      <c r="C185" s="2" t="s">
        <v>764</v>
      </c>
      <c r="D185" t="s">
        <v>765</v>
      </c>
      <c r="E185" s="5"/>
      <c r="F185" s="5"/>
      <c r="G185" s="5"/>
      <c r="H185" s="5"/>
      <c r="I185" s="5">
        <v>83.17</v>
      </c>
      <c r="J185" s="5"/>
      <c r="K185" s="5"/>
      <c r="L185" s="5"/>
      <c r="M185" s="23" t="s">
        <v>68</v>
      </c>
    </row>
    <row r="186" spans="1:13" x14ac:dyDescent="0.25">
      <c r="A186" s="19">
        <v>46009</v>
      </c>
      <c r="B186" t="s">
        <v>35</v>
      </c>
      <c r="C186" s="2" t="s">
        <v>766</v>
      </c>
      <c r="D186" t="s">
        <v>767</v>
      </c>
      <c r="E186" s="5"/>
      <c r="F186" s="5"/>
      <c r="G186" s="5"/>
      <c r="H186" s="5"/>
      <c r="I186" s="5">
        <v>69.02</v>
      </c>
      <c r="J186" s="5"/>
      <c r="K186" s="5"/>
      <c r="L186" s="5"/>
      <c r="M186" s="23" t="s">
        <v>68</v>
      </c>
    </row>
    <row r="187" spans="1:13" x14ac:dyDescent="0.25">
      <c r="A187" s="19">
        <v>46009</v>
      </c>
      <c r="B187" t="s">
        <v>35</v>
      </c>
      <c r="C187" s="2" t="s">
        <v>768</v>
      </c>
      <c r="D187" t="s">
        <v>769</v>
      </c>
      <c r="E187" s="5"/>
      <c r="F187" s="5"/>
      <c r="G187" s="5"/>
      <c r="H187" s="5"/>
      <c r="I187" s="5"/>
      <c r="J187" s="5"/>
      <c r="K187" s="5"/>
      <c r="L187" s="5">
        <v>69.02</v>
      </c>
      <c r="M187" s="23" t="s">
        <v>68</v>
      </c>
    </row>
    <row r="188" spans="1:13" x14ac:dyDescent="0.25">
      <c r="A188" s="19">
        <v>46021</v>
      </c>
      <c r="C188" s="2" t="s">
        <v>770</v>
      </c>
      <c r="D188" s="23" t="s">
        <v>771</v>
      </c>
      <c r="E188" s="5"/>
      <c r="F188" s="5"/>
      <c r="G188" s="5"/>
      <c r="H188" s="5">
        <v>97.76</v>
      </c>
      <c r="I188" s="5"/>
      <c r="J188" s="5"/>
      <c r="K188" s="5"/>
      <c r="L188" s="5"/>
      <c r="M188" s="23" t="s">
        <v>68</v>
      </c>
    </row>
    <row r="189" spans="1:13" x14ac:dyDescent="0.25">
      <c r="A189" s="19"/>
      <c r="C189" s="2"/>
      <c r="E189" s="5"/>
      <c r="F189" s="5"/>
      <c r="G189" s="5"/>
      <c r="H189" s="5"/>
      <c r="I189" s="5"/>
      <c r="J189" s="5"/>
      <c r="K189" s="5"/>
      <c r="L189" s="5"/>
      <c r="M189" s="23"/>
    </row>
    <row r="190" spans="1:13" x14ac:dyDescent="0.25">
      <c r="A190" s="19"/>
      <c r="C190" s="2"/>
      <c r="E190" s="5"/>
      <c r="F190" s="5"/>
      <c r="G190" s="5"/>
      <c r="H190" s="5"/>
      <c r="I190" s="5"/>
      <c r="J190" s="5"/>
      <c r="K190" s="5"/>
      <c r="L190" s="5"/>
      <c r="M190" s="23"/>
    </row>
    <row r="191" spans="1:13" x14ac:dyDescent="0.25">
      <c r="A191" s="19"/>
      <c r="C191" s="2"/>
      <c r="E191" s="5"/>
      <c r="F191" s="5"/>
      <c r="G191" s="5"/>
      <c r="H191" s="5"/>
      <c r="I191" s="5"/>
      <c r="J191" s="5"/>
      <c r="K191" s="5"/>
      <c r="L191" s="5"/>
      <c r="M191" s="23"/>
    </row>
    <row r="192" spans="1:13" x14ac:dyDescent="0.25">
      <c r="A192" s="2"/>
      <c r="E192" s="5"/>
      <c r="F192" s="5"/>
      <c r="G192" s="5"/>
      <c r="H192" s="5"/>
      <c r="I192" s="5"/>
      <c r="J192" s="5"/>
      <c r="K192" s="5"/>
      <c r="L192" s="5"/>
    </row>
    <row r="193" spans="1:13" x14ac:dyDescent="0.25">
      <c r="A193" s="2">
        <v>45719</v>
      </c>
      <c r="B193" t="s">
        <v>38</v>
      </c>
      <c r="C193" t="s">
        <v>772</v>
      </c>
      <c r="D193" t="s">
        <v>773</v>
      </c>
      <c r="E193" s="5"/>
      <c r="F193" s="5"/>
      <c r="G193" s="5"/>
      <c r="H193" s="5">
        <v>111.85</v>
      </c>
      <c r="I193" s="5"/>
      <c r="J193" s="5"/>
      <c r="K193" s="5"/>
      <c r="L193" s="5"/>
      <c r="M193" t="s">
        <v>220</v>
      </c>
    </row>
    <row r="194" spans="1:13" x14ac:dyDescent="0.25">
      <c r="A194" s="2">
        <v>45783</v>
      </c>
      <c r="B194" t="s">
        <v>38</v>
      </c>
      <c r="C194" t="s">
        <v>774</v>
      </c>
      <c r="D194" t="s">
        <v>775</v>
      </c>
      <c r="E194" s="5"/>
      <c r="F194" s="5"/>
      <c r="G194" s="5"/>
      <c r="H194" s="5">
        <v>4578.38</v>
      </c>
      <c r="I194" s="5"/>
      <c r="J194" s="5"/>
      <c r="K194" s="5"/>
      <c r="L194" s="5"/>
      <c r="M194" t="s">
        <v>220</v>
      </c>
    </row>
    <row r="195" spans="1:13" x14ac:dyDescent="0.25">
      <c r="A195" s="2">
        <v>45808</v>
      </c>
      <c r="B195" t="s">
        <v>38</v>
      </c>
      <c r="C195" t="s">
        <v>776</v>
      </c>
      <c r="D195" t="s">
        <v>777</v>
      </c>
      <c r="E195" s="5"/>
      <c r="F195" s="5"/>
      <c r="G195" s="5"/>
      <c r="H195" s="5">
        <v>500.24</v>
      </c>
      <c r="I195" s="5"/>
      <c r="J195" s="5"/>
      <c r="K195" s="5"/>
      <c r="L195" s="5"/>
      <c r="M195" t="s">
        <v>220</v>
      </c>
    </row>
    <row r="196" spans="1:13" x14ac:dyDescent="0.25">
      <c r="A196" s="2">
        <v>45869</v>
      </c>
      <c r="C196" t="s">
        <v>778</v>
      </c>
      <c r="D196" t="s">
        <v>779</v>
      </c>
      <c r="E196" s="5"/>
      <c r="F196" s="5"/>
      <c r="G196" s="5"/>
      <c r="H196" s="5">
        <v>797.35</v>
      </c>
      <c r="I196" s="5"/>
      <c r="J196" s="5"/>
      <c r="K196" s="5"/>
      <c r="L196" s="5"/>
      <c r="M196" t="s">
        <v>220</v>
      </c>
    </row>
    <row r="197" spans="1:13" x14ac:dyDescent="0.25">
      <c r="A197" s="2">
        <v>45901</v>
      </c>
      <c r="C197" t="s">
        <v>780</v>
      </c>
      <c r="D197" t="s">
        <v>781</v>
      </c>
      <c r="E197" s="5"/>
      <c r="F197" s="5"/>
      <c r="G197" s="5"/>
      <c r="H197" s="5">
        <v>3396.41</v>
      </c>
      <c r="I197" s="5"/>
      <c r="J197" s="5"/>
      <c r="K197" s="5"/>
      <c r="L197" s="5"/>
      <c r="M197" t="s">
        <v>220</v>
      </c>
    </row>
    <row r="198" spans="1:13" x14ac:dyDescent="0.25">
      <c r="A198" s="2">
        <v>45926</v>
      </c>
      <c r="C198" t="s">
        <v>782</v>
      </c>
      <c r="D198" t="s">
        <v>783</v>
      </c>
      <c r="E198" s="5"/>
      <c r="F198" s="5"/>
      <c r="G198" s="5"/>
      <c r="H198" s="5">
        <v>1145.43</v>
      </c>
      <c r="I198" s="5"/>
      <c r="J198" s="5"/>
      <c r="K198" s="5"/>
      <c r="L198" s="5"/>
      <c r="M198" t="s">
        <v>220</v>
      </c>
    </row>
    <row r="199" spans="1:13" x14ac:dyDescent="0.25">
      <c r="A199" s="19">
        <v>45960</v>
      </c>
      <c r="C199" t="s">
        <v>784</v>
      </c>
      <c r="D199" t="s">
        <v>785</v>
      </c>
      <c r="E199" s="5"/>
      <c r="F199" s="5"/>
      <c r="G199" s="5"/>
      <c r="H199" s="5">
        <v>150.38999999999999</v>
      </c>
      <c r="I199" s="5"/>
      <c r="J199" s="5"/>
      <c r="K199" s="5"/>
      <c r="L199" s="5"/>
      <c r="M199" t="s">
        <v>220</v>
      </c>
    </row>
    <row r="200" spans="1:13" x14ac:dyDescent="0.25">
      <c r="A200" s="19">
        <v>45996</v>
      </c>
      <c r="C200" t="s">
        <v>786</v>
      </c>
      <c r="D200" t="s">
        <v>787</v>
      </c>
      <c r="E200" s="5"/>
      <c r="F200" s="5"/>
      <c r="G200" s="5"/>
      <c r="H200" s="5">
        <v>47.01</v>
      </c>
      <c r="I200" s="5"/>
      <c r="J200" s="5"/>
      <c r="K200" s="5"/>
      <c r="L200" s="5"/>
      <c r="M200" t="s">
        <v>220</v>
      </c>
    </row>
    <row r="201" spans="1:13" x14ac:dyDescent="0.25">
      <c r="A201" s="2"/>
      <c r="E201" s="5"/>
      <c r="F201" s="5"/>
      <c r="G201" s="5"/>
      <c r="H201" s="5"/>
      <c r="I201" s="5"/>
      <c r="J201" s="5"/>
      <c r="K201" s="5"/>
      <c r="L201" s="5"/>
    </row>
    <row r="202" spans="1:13" x14ac:dyDescent="0.25">
      <c r="E202" s="5"/>
      <c r="F202" s="5"/>
      <c r="G202" s="5"/>
      <c r="H202" s="5"/>
      <c r="I202" s="5"/>
      <c r="J202" s="5"/>
      <c r="K202" s="5"/>
      <c r="L202" s="5"/>
    </row>
    <row r="203" spans="1:13" x14ac:dyDescent="0.25">
      <c r="A203" s="2">
        <v>45687</v>
      </c>
      <c r="C203" t="s">
        <v>788</v>
      </c>
      <c r="D203" t="s">
        <v>789</v>
      </c>
      <c r="E203" s="5"/>
      <c r="F203" s="5"/>
      <c r="G203" s="5">
        <v>627.77</v>
      </c>
      <c r="H203" s="5"/>
      <c r="I203" s="5"/>
      <c r="J203" s="5"/>
      <c r="K203" s="5"/>
      <c r="L203" s="5"/>
      <c r="M203" t="s">
        <v>790</v>
      </c>
    </row>
    <row r="204" spans="1:13" x14ac:dyDescent="0.25">
      <c r="A204" s="2">
        <v>45715</v>
      </c>
      <c r="C204" t="s">
        <v>791</v>
      </c>
      <c r="D204" t="s">
        <v>789</v>
      </c>
      <c r="E204" s="5"/>
      <c r="F204" s="5"/>
      <c r="G204" s="5">
        <v>154.57</v>
      </c>
      <c r="H204" s="5"/>
      <c r="I204" s="5"/>
      <c r="J204" s="5"/>
      <c r="K204" s="5"/>
      <c r="L204" s="5"/>
      <c r="M204" t="s">
        <v>790</v>
      </c>
    </row>
    <row r="205" spans="1:13" x14ac:dyDescent="0.25">
      <c r="A205" s="2">
        <v>45741</v>
      </c>
      <c r="C205" t="s">
        <v>792</v>
      </c>
      <c r="D205" t="s">
        <v>789</v>
      </c>
      <c r="E205" s="5"/>
      <c r="F205" s="5"/>
      <c r="G205" s="5">
        <v>877.24</v>
      </c>
      <c r="H205" s="5"/>
      <c r="I205" s="5"/>
      <c r="J205" s="5"/>
      <c r="K205" s="5"/>
      <c r="L205" s="5"/>
      <c r="M205" t="s">
        <v>790</v>
      </c>
    </row>
    <row r="206" spans="1:13" x14ac:dyDescent="0.25">
      <c r="A206" s="2">
        <v>45772</v>
      </c>
      <c r="B206" t="s">
        <v>38</v>
      </c>
      <c r="C206" t="s">
        <v>793</v>
      </c>
      <c r="D206" t="s">
        <v>794</v>
      </c>
      <c r="E206" s="5"/>
      <c r="F206" s="5"/>
      <c r="G206" s="5">
        <v>1757.21</v>
      </c>
      <c r="H206" s="5"/>
      <c r="I206" s="5"/>
      <c r="J206" s="5"/>
      <c r="K206" s="5"/>
      <c r="L206" s="5"/>
      <c r="M206" t="s">
        <v>790</v>
      </c>
    </row>
    <row r="207" spans="1:13" x14ac:dyDescent="0.25">
      <c r="A207" s="2">
        <v>45772</v>
      </c>
      <c r="C207" t="s">
        <v>795</v>
      </c>
      <c r="E207" s="5"/>
      <c r="F207" s="5"/>
      <c r="G207" s="5">
        <v>77.739999999999995</v>
      </c>
      <c r="H207" s="5"/>
      <c r="I207" s="5"/>
      <c r="J207" s="5"/>
      <c r="K207" s="5"/>
      <c r="L207" s="5"/>
      <c r="M207" t="s">
        <v>790</v>
      </c>
    </row>
    <row r="208" spans="1:13" x14ac:dyDescent="0.25">
      <c r="A208" s="2">
        <v>45777</v>
      </c>
      <c r="C208" t="s">
        <v>796</v>
      </c>
      <c r="D208" t="s">
        <v>789</v>
      </c>
      <c r="E208" s="5"/>
      <c r="F208" s="5"/>
      <c r="G208" s="5">
        <v>304.45999999999998</v>
      </c>
      <c r="H208" s="5"/>
      <c r="I208" s="5"/>
      <c r="J208" s="5"/>
      <c r="K208" s="5"/>
      <c r="L208" s="5"/>
      <c r="M208" t="s">
        <v>790</v>
      </c>
    </row>
    <row r="209" spans="1:13" x14ac:dyDescent="0.25">
      <c r="A209" s="2">
        <v>45808</v>
      </c>
      <c r="C209" t="s">
        <v>797</v>
      </c>
      <c r="D209" t="s">
        <v>789</v>
      </c>
      <c r="E209" s="5"/>
      <c r="F209" s="5"/>
      <c r="G209" s="5">
        <v>564.87</v>
      </c>
      <c r="H209" s="5"/>
      <c r="I209" s="5"/>
      <c r="J209" s="5"/>
      <c r="K209" s="5"/>
      <c r="L209" s="5"/>
      <c r="M209" t="s">
        <v>790</v>
      </c>
    </row>
    <row r="210" spans="1:13" x14ac:dyDescent="0.25">
      <c r="A210" s="2">
        <v>45866</v>
      </c>
      <c r="C210" t="s">
        <v>798</v>
      </c>
      <c r="D210" t="s">
        <v>789</v>
      </c>
      <c r="E210" s="5"/>
      <c r="F210" s="5"/>
      <c r="G210" s="5">
        <v>1174.03</v>
      </c>
      <c r="H210" s="5"/>
      <c r="I210" s="5"/>
      <c r="J210" s="5"/>
      <c r="K210" s="5"/>
      <c r="L210" s="5"/>
      <c r="M210" t="s">
        <v>790</v>
      </c>
    </row>
    <row r="211" spans="1:13" x14ac:dyDescent="0.25">
      <c r="A211" s="2">
        <v>45899</v>
      </c>
      <c r="B211" t="s">
        <v>38</v>
      </c>
      <c r="C211" s="2" t="s">
        <v>799</v>
      </c>
      <c r="D211" t="s">
        <v>800</v>
      </c>
      <c r="E211" s="5"/>
      <c r="F211" s="5"/>
      <c r="G211" s="5">
        <v>1253.3399999999999</v>
      </c>
      <c r="H211" s="5"/>
      <c r="I211" s="5"/>
      <c r="J211" s="5"/>
      <c r="K211" s="5"/>
      <c r="L211" s="5"/>
      <c r="M211" t="s">
        <v>790</v>
      </c>
    </row>
    <row r="212" spans="1:13" x14ac:dyDescent="0.25">
      <c r="A212" s="2">
        <v>45928</v>
      </c>
      <c r="C212" t="s">
        <v>801</v>
      </c>
      <c r="D212" t="s">
        <v>60</v>
      </c>
      <c r="E212" s="5"/>
      <c r="F212" s="5"/>
      <c r="G212" s="5">
        <v>1333.54</v>
      </c>
      <c r="H212" s="5"/>
      <c r="I212" s="5"/>
      <c r="J212" s="5"/>
      <c r="K212" s="5"/>
      <c r="L212" s="5"/>
      <c r="M212" t="s">
        <v>790</v>
      </c>
    </row>
    <row r="213" spans="1:13" x14ac:dyDescent="0.25">
      <c r="A213" s="2">
        <v>45958</v>
      </c>
      <c r="C213" t="s">
        <v>802</v>
      </c>
      <c r="D213" t="s">
        <v>803</v>
      </c>
      <c r="E213" s="5"/>
      <c r="F213" s="5"/>
      <c r="G213" s="5">
        <v>81.38</v>
      </c>
      <c r="H213" s="5"/>
      <c r="I213" s="5"/>
      <c r="J213" s="5"/>
      <c r="K213" s="5"/>
      <c r="L213" s="5"/>
    </row>
    <row r="214" spans="1:13" x14ac:dyDescent="0.25">
      <c r="A214" s="2">
        <v>45958</v>
      </c>
      <c r="C214" t="s">
        <v>804</v>
      </c>
      <c r="D214" t="s">
        <v>805</v>
      </c>
      <c r="E214" s="5"/>
      <c r="F214" s="5"/>
      <c r="G214" s="5">
        <v>343.46</v>
      </c>
      <c r="H214" s="5"/>
      <c r="I214" s="5"/>
      <c r="J214" s="5"/>
      <c r="K214" s="5"/>
      <c r="L214" s="5"/>
    </row>
    <row r="215" spans="1:13" x14ac:dyDescent="0.25">
      <c r="A215" s="2"/>
      <c r="E215" s="5"/>
      <c r="F215" s="5"/>
      <c r="G215" s="5"/>
      <c r="H215" s="5"/>
      <c r="I215" s="5"/>
      <c r="J215" s="5"/>
      <c r="K215" s="5"/>
      <c r="L215" s="5"/>
    </row>
    <row r="216" spans="1:13" x14ac:dyDescent="0.25">
      <c r="A216" s="2"/>
      <c r="E216" s="5"/>
      <c r="F216" s="5"/>
      <c r="G216" s="5"/>
      <c r="H216" s="5"/>
      <c r="I216" s="5"/>
      <c r="J216" s="5"/>
      <c r="K216" s="5"/>
      <c r="L216" s="5"/>
    </row>
    <row r="217" spans="1:13" x14ac:dyDescent="0.25">
      <c r="E217" s="5"/>
      <c r="F217" s="5"/>
      <c r="G217" s="5"/>
      <c r="H217" s="5"/>
      <c r="I217" s="5"/>
      <c r="J217" s="5"/>
      <c r="K217" s="5"/>
      <c r="L217" s="5"/>
    </row>
    <row r="218" spans="1:13" x14ac:dyDescent="0.25">
      <c r="A218" s="2">
        <v>45695</v>
      </c>
      <c r="C218" t="s">
        <v>806</v>
      </c>
      <c r="D218" t="s">
        <v>807</v>
      </c>
      <c r="E218" s="5"/>
      <c r="F218" s="5">
        <v>1040.73</v>
      </c>
      <c r="G218" s="5"/>
      <c r="H218" s="5"/>
      <c r="I218" s="5"/>
      <c r="J218" s="5"/>
      <c r="K218" s="5"/>
      <c r="L218" s="5"/>
      <c r="M218" t="s">
        <v>47</v>
      </c>
    </row>
    <row r="219" spans="1:13" x14ac:dyDescent="0.25">
      <c r="A219" s="2">
        <v>45695</v>
      </c>
      <c r="C219" t="s">
        <v>808</v>
      </c>
      <c r="E219" s="5"/>
      <c r="F219" s="5">
        <v>225.27</v>
      </c>
      <c r="G219" s="5"/>
      <c r="H219" s="5"/>
      <c r="I219" s="5"/>
      <c r="J219" s="5"/>
      <c r="K219" s="5"/>
      <c r="L219" s="5"/>
      <c r="M219" t="s">
        <v>47</v>
      </c>
    </row>
    <row r="220" spans="1:13" x14ac:dyDescent="0.25">
      <c r="A220" s="2">
        <v>45754</v>
      </c>
      <c r="B220" t="s">
        <v>38</v>
      </c>
      <c r="C220" t="s">
        <v>809</v>
      </c>
      <c r="D220" t="s">
        <v>810</v>
      </c>
      <c r="E220" s="5"/>
      <c r="F220" s="5">
        <v>51.45</v>
      </c>
      <c r="G220" s="5"/>
      <c r="H220" s="5"/>
      <c r="I220" s="5"/>
      <c r="J220" s="5"/>
      <c r="K220" s="5"/>
      <c r="L220" s="5"/>
      <c r="M220" t="s">
        <v>47</v>
      </c>
    </row>
    <row r="221" spans="1:13" x14ac:dyDescent="0.25">
      <c r="A221" s="2">
        <v>45754</v>
      </c>
      <c r="C221" t="s">
        <v>811</v>
      </c>
      <c r="D221" t="s">
        <v>812</v>
      </c>
      <c r="E221" s="5"/>
      <c r="F221" s="5">
        <v>248.93</v>
      </c>
      <c r="G221" s="5"/>
      <c r="H221" s="5"/>
      <c r="I221" s="5"/>
      <c r="J221" s="5"/>
      <c r="K221" s="5"/>
      <c r="L221" s="5"/>
      <c r="M221" t="s">
        <v>47</v>
      </c>
    </row>
    <row r="222" spans="1:13" x14ac:dyDescent="0.25">
      <c r="A222" s="2">
        <v>45754</v>
      </c>
      <c r="B222" t="s">
        <v>38</v>
      </c>
      <c r="C222" t="s">
        <v>813</v>
      </c>
      <c r="D222" t="s">
        <v>814</v>
      </c>
      <c r="E222" s="5"/>
      <c r="F222" s="5">
        <v>237.01</v>
      </c>
      <c r="G222" s="5"/>
      <c r="H222" s="5"/>
      <c r="I222" s="5"/>
      <c r="J222" s="5"/>
      <c r="K222" s="5"/>
      <c r="L222" s="5"/>
      <c r="M222" t="s">
        <v>47</v>
      </c>
    </row>
    <row r="223" spans="1:13" x14ac:dyDescent="0.25">
      <c r="A223" s="2">
        <v>45786</v>
      </c>
      <c r="C223" t="s">
        <v>815</v>
      </c>
      <c r="D223" t="s">
        <v>816</v>
      </c>
      <c r="E223" s="5"/>
      <c r="F223" s="5">
        <v>79.67</v>
      </c>
      <c r="G223" s="5"/>
      <c r="H223" s="5"/>
      <c r="I223" s="5"/>
      <c r="J223" s="5"/>
      <c r="K223" s="5"/>
      <c r="L223" s="5"/>
      <c r="M223" t="s">
        <v>47</v>
      </c>
    </row>
    <row r="224" spans="1:13" x14ac:dyDescent="0.25">
      <c r="A224" s="2">
        <v>45786</v>
      </c>
      <c r="B224" t="s">
        <v>38</v>
      </c>
      <c r="C224" t="s">
        <v>817</v>
      </c>
      <c r="D224" t="s">
        <v>818</v>
      </c>
      <c r="E224" s="5"/>
      <c r="F224" s="5">
        <v>4956.92</v>
      </c>
      <c r="G224" s="5"/>
      <c r="H224" s="5"/>
      <c r="I224" s="5"/>
      <c r="J224" s="5"/>
      <c r="K224" s="5"/>
      <c r="L224" s="5"/>
      <c r="M224" t="s">
        <v>47</v>
      </c>
    </row>
    <row r="225" spans="1:13" x14ac:dyDescent="0.25">
      <c r="A225" s="2">
        <v>45786</v>
      </c>
      <c r="C225" t="s">
        <v>819</v>
      </c>
      <c r="D225" t="s">
        <v>820</v>
      </c>
      <c r="E225" s="5"/>
      <c r="F225" s="5">
        <v>572.48</v>
      </c>
      <c r="G225" s="5"/>
      <c r="H225" s="5"/>
      <c r="I225" s="5"/>
      <c r="J225" s="5"/>
      <c r="K225" s="5"/>
      <c r="L225" s="5"/>
      <c r="M225" t="s">
        <v>47</v>
      </c>
    </row>
    <row r="226" spans="1:13" x14ac:dyDescent="0.25">
      <c r="A226" s="2">
        <v>45818</v>
      </c>
      <c r="B226" t="s">
        <v>35</v>
      </c>
      <c r="C226" t="s">
        <v>821</v>
      </c>
      <c r="D226" t="s">
        <v>822</v>
      </c>
      <c r="E226" s="5"/>
      <c r="F226" s="5">
        <v>533.12</v>
      </c>
      <c r="G226" s="5"/>
      <c r="H226" s="5"/>
      <c r="I226" s="5"/>
      <c r="J226" s="5"/>
      <c r="K226" s="5"/>
      <c r="L226" s="5"/>
      <c r="M226" t="s">
        <v>47</v>
      </c>
    </row>
    <row r="227" spans="1:13" x14ac:dyDescent="0.25">
      <c r="A227" s="2">
        <v>45818</v>
      </c>
      <c r="C227" t="s">
        <v>823</v>
      </c>
      <c r="D227" t="s">
        <v>824</v>
      </c>
      <c r="E227" s="5"/>
      <c r="F227" s="5">
        <v>228.53</v>
      </c>
      <c r="G227" s="5"/>
      <c r="H227" s="5"/>
      <c r="I227" s="5"/>
      <c r="J227" s="5"/>
      <c r="K227" s="5"/>
      <c r="L227" s="5"/>
      <c r="M227" t="s">
        <v>47</v>
      </c>
    </row>
    <row r="228" spans="1:13" x14ac:dyDescent="0.25">
      <c r="A228" s="2">
        <v>45818</v>
      </c>
      <c r="C228" t="s">
        <v>825</v>
      </c>
      <c r="D228" t="s">
        <v>826</v>
      </c>
      <c r="E228" s="5"/>
      <c r="F228" s="5">
        <v>347.15</v>
      </c>
      <c r="G228" s="5"/>
      <c r="H228" s="5"/>
      <c r="I228" s="5"/>
      <c r="J228" s="5"/>
      <c r="K228" s="5"/>
      <c r="L228" s="5"/>
      <c r="M228" t="s">
        <v>47</v>
      </c>
    </row>
    <row r="229" spans="1:13" x14ac:dyDescent="0.25">
      <c r="A229" s="18">
        <v>45846</v>
      </c>
      <c r="C229" t="s">
        <v>827</v>
      </c>
      <c r="D229" t="s">
        <v>828</v>
      </c>
      <c r="E229" s="5"/>
      <c r="F229" s="5">
        <v>139.22999999999999</v>
      </c>
      <c r="G229" s="5"/>
      <c r="H229" s="5"/>
      <c r="I229" s="5"/>
      <c r="J229" s="5"/>
      <c r="K229" s="5"/>
      <c r="L229" s="5"/>
      <c r="M229" t="s">
        <v>47</v>
      </c>
    </row>
    <row r="230" spans="1:13" x14ac:dyDescent="0.25">
      <c r="A230" s="18">
        <v>45846</v>
      </c>
      <c r="C230" t="s">
        <v>829</v>
      </c>
      <c r="D230" t="s">
        <v>824</v>
      </c>
      <c r="E230" s="5"/>
      <c r="F230" s="5">
        <v>29.41</v>
      </c>
      <c r="G230" s="5"/>
      <c r="H230" s="5"/>
      <c r="I230" s="5"/>
      <c r="J230" s="5"/>
      <c r="K230" s="5"/>
      <c r="L230" s="5"/>
      <c r="M230" t="s">
        <v>47</v>
      </c>
    </row>
    <row r="231" spans="1:13" x14ac:dyDescent="0.25">
      <c r="A231" s="18">
        <v>45846</v>
      </c>
      <c r="C231" t="s">
        <v>830</v>
      </c>
      <c r="D231" t="s">
        <v>828</v>
      </c>
      <c r="E231" s="5"/>
      <c r="F231" s="5">
        <v>108.58</v>
      </c>
      <c r="G231" s="5"/>
      <c r="H231" s="5"/>
      <c r="I231" s="5"/>
      <c r="J231" s="5"/>
      <c r="K231" s="5"/>
      <c r="L231" s="5"/>
      <c r="M231" t="s">
        <v>47</v>
      </c>
    </row>
    <row r="232" spans="1:13" x14ac:dyDescent="0.25">
      <c r="A232" s="2">
        <v>45877</v>
      </c>
      <c r="C232" t="s">
        <v>831</v>
      </c>
      <c r="D232" t="s">
        <v>824</v>
      </c>
      <c r="E232" s="5"/>
      <c r="F232" s="5">
        <v>571.54</v>
      </c>
      <c r="G232" s="5"/>
      <c r="H232" s="5"/>
      <c r="I232" s="5"/>
      <c r="J232" s="5"/>
      <c r="K232" s="5"/>
      <c r="L232" s="5"/>
      <c r="M232" t="s">
        <v>47</v>
      </c>
    </row>
    <row r="233" spans="1:13" x14ac:dyDescent="0.25">
      <c r="A233" s="2">
        <v>45877</v>
      </c>
      <c r="C233" t="s">
        <v>832</v>
      </c>
      <c r="D233" t="s">
        <v>828</v>
      </c>
      <c r="E233" s="5"/>
      <c r="F233" s="5">
        <v>190.34</v>
      </c>
      <c r="G233" s="5"/>
      <c r="H233" s="5"/>
      <c r="I233" s="5"/>
      <c r="J233" s="5"/>
      <c r="K233" s="5"/>
      <c r="L233" s="5"/>
      <c r="M233" t="s">
        <v>47</v>
      </c>
    </row>
    <row r="234" spans="1:13" x14ac:dyDescent="0.25">
      <c r="A234" s="2">
        <v>45877</v>
      </c>
      <c r="C234" t="s">
        <v>833</v>
      </c>
      <c r="D234" t="s">
        <v>828</v>
      </c>
      <c r="E234" s="5"/>
      <c r="F234" s="5">
        <v>354.62</v>
      </c>
      <c r="G234" s="5"/>
      <c r="H234" s="5"/>
      <c r="I234" s="5"/>
      <c r="J234" s="5"/>
      <c r="K234" s="5"/>
      <c r="L234" s="5"/>
      <c r="M234" t="s">
        <v>47</v>
      </c>
    </row>
    <row r="235" spans="1:13" x14ac:dyDescent="0.25">
      <c r="A235" s="2">
        <v>45905</v>
      </c>
      <c r="C235" t="s">
        <v>834</v>
      </c>
      <c r="D235" t="s">
        <v>835</v>
      </c>
      <c r="E235" s="5"/>
      <c r="F235" s="5">
        <v>6503.37</v>
      </c>
      <c r="G235" s="5"/>
      <c r="H235" s="5"/>
      <c r="I235" s="5"/>
      <c r="J235" s="5"/>
      <c r="K235" s="5"/>
      <c r="L235" s="5"/>
      <c r="M235" t="s">
        <v>47</v>
      </c>
    </row>
    <row r="236" spans="1:13" x14ac:dyDescent="0.25">
      <c r="A236" s="2">
        <v>45905</v>
      </c>
      <c r="C236" t="s">
        <v>836</v>
      </c>
      <c r="D236" t="s">
        <v>824</v>
      </c>
      <c r="E236" s="5"/>
      <c r="F236" s="5">
        <v>8.99</v>
      </c>
      <c r="G236" s="5"/>
      <c r="H236" s="5"/>
      <c r="I236" s="5"/>
      <c r="J236" s="5"/>
      <c r="K236" s="5"/>
      <c r="L236" s="5"/>
      <c r="M236" t="s">
        <v>47</v>
      </c>
    </row>
    <row r="237" spans="1:13" x14ac:dyDescent="0.25">
      <c r="A237" s="2">
        <v>45905</v>
      </c>
      <c r="B237" t="s">
        <v>38</v>
      </c>
      <c r="C237" t="s">
        <v>837</v>
      </c>
      <c r="D237" t="s">
        <v>838</v>
      </c>
      <c r="E237" s="5"/>
      <c r="F237" s="5">
        <v>45.16</v>
      </c>
      <c r="G237" s="5"/>
      <c r="H237" s="5"/>
      <c r="I237" s="5"/>
      <c r="J237" s="5"/>
      <c r="K237" s="5"/>
      <c r="L237" s="5"/>
      <c r="M237" t="s">
        <v>47</v>
      </c>
    </row>
    <row r="238" spans="1:13" x14ac:dyDescent="0.25">
      <c r="A238" s="2">
        <v>45940</v>
      </c>
      <c r="B238" t="s">
        <v>38</v>
      </c>
      <c r="C238" t="s">
        <v>839</v>
      </c>
      <c r="D238" t="s">
        <v>840</v>
      </c>
      <c r="E238" s="5"/>
      <c r="F238" s="5">
        <v>3576.74</v>
      </c>
      <c r="G238" s="5"/>
      <c r="H238" s="5"/>
      <c r="I238" s="5"/>
      <c r="J238" s="5"/>
      <c r="K238" s="5"/>
      <c r="L238" s="5"/>
      <c r="M238" t="s">
        <v>47</v>
      </c>
    </row>
    <row r="239" spans="1:13" x14ac:dyDescent="0.25">
      <c r="A239" s="2">
        <v>45972</v>
      </c>
      <c r="C239" t="s">
        <v>841</v>
      </c>
      <c r="D239" t="s">
        <v>842</v>
      </c>
      <c r="E239" s="5"/>
      <c r="F239" s="5">
        <v>119.14</v>
      </c>
      <c r="G239" s="5"/>
      <c r="H239" s="5"/>
      <c r="I239" s="5"/>
      <c r="J239" s="5"/>
      <c r="K239" s="5"/>
      <c r="L239" s="5"/>
      <c r="M239" t="s">
        <v>47</v>
      </c>
    </row>
    <row r="240" spans="1:13" x14ac:dyDescent="0.25">
      <c r="A240" s="2">
        <v>45972</v>
      </c>
      <c r="C240" s="24" t="s">
        <v>843</v>
      </c>
      <c r="D240" t="s">
        <v>828</v>
      </c>
      <c r="E240" s="5"/>
      <c r="F240" s="5">
        <v>665.42</v>
      </c>
      <c r="G240" s="5"/>
      <c r="H240" s="5"/>
      <c r="I240" s="5"/>
      <c r="J240" s="5"/>
      <c r="K240" s="5"/>
      <c r="L240" s="5"/>
      <c r="M240" t="s">
        <v>47</v>
      </c>
    </row>
    <row r="241" spans="1:14" x14ac:dyDescent="0.25">
      <c r="A241" s="2">
        <v>45993</v>
      </c>
      <c r="C241" t="s">
        <v>844</v>
      </c>
      <c r="D241" t="s">
        <v>845</v>
      </c>
      <c r="E241" s="5"/>
      <c r="F241" s="5">
        <v>1318.67</v>
      </c>
      <c r="G241" s="5"/>
      <c r="H241" s="5"/>
      <c r="I241" s="5"/>
      <c r="J241" s="5"/>
      <c r="K241" s="5"/>
      <c r="L241" s="5"/>
      <c r="M241" t="s">
        <v>47</v>
      </c>
    </row>
    <row r="242" spans="1:14" x14ac:dyDescent="0.25">
      <c r="A242" s="2">
        <v>45993</v>
      </c>
      <c r="C242" t="s">
        <v>844</v>
      </c>
      <c r="D242" t="s">
        <v>842</v>
      </c>
      <c r="E242" s="5"/>
      <c r="F242" s="5">
        <v>984.17</v>
      </c>
      <c r="G242" s="5"/>
      <c r="H242" s="5"/>
      <c r="I242" s="5"/>
      <c r="J242" s="5"/>
      <c r="K242" s="5"/>
      <c r="L242" s="5"/>
      <c r="M242" t="s">
        <v>47</v>
      </c>
    </row>
    <row r="243" spans="1:14" x14ac:dyDescent="0.25">
      <c r="A243" s="2">
        <v>45993</v>
      </c>
      <c r="C243" t="s">
        <v>846</v>
      </c>
      <c r="D243" t="s">
        <v>847</v>
      </c>
      <c r="E243" s="5"/>
      <c r="F243" s="5">
        <v>17.54</v>
      </c>
      <c r="G243" s="5"/>
      <c r="H243" s="5"/>
      <c r="I243" s="5"/>
      <c r="J243" s="5"/>
      <c r="K243" s="5"/>
      <c r="L243" s="5"/>
      <c r="M243" t="s">
        <v>47</v>
      </c>
    </row>
    <row r="244" spans="1:14" x14ac:dyDescent="0.25">
      <c r="A244" s="2"/>
      <c r="E244" s="5"/>
      <c r="F244" s="5"/>
      <c r="G244" s="5"/>
      <c r="H244" s="5"/>
      <c r="I244" s="5"/>
      <c r="J244" s="5"/>
      <c r="K244" s="5"/>
      <c r="L244" s="5"/>
    </row>
    <row r="245" spans="1:14" x14ac:dyDescent="0.25">
      <c r="E245" s="5"/>
      <c r="F245" s="5"/>
      <c r="G245" s="5"/>
      <c r="H245" s="5"/>
      <c r="I245" s="5"/>
      <c r="J245" s="5"/>
      <c r="K245" s="5"/>
      <c r="L245" s="5"/>
    </row>
    <row r="246" spans="1:14" x14ac:dyDescent="0.25">
      <c r="E246" s="5"/>
      <c r="F246" s="5"/>
      <c r="G246" s="5"/>
      <c r="H246" s="5"/>
      <c r="I246" s="5"/>
      <c r="J246" s="5"/>
      <c r="K246" s="5"/>
      <c r="L246" s="5"/>
    </row>
    <row r="247" spans="1:14" x14ac:dyDescent="0.25">
      <c r="E247" s="5"/>
      <c r="F247" s="5"/>
      <c r="G247" s="5"/>
      <c r="H247" s="5"/>
      <c r="I247" s="5"/>
      <c r="J247" s="5"/>
      <c r="K247" s="5"/>
      <c r="L247" s="5"/>
    </row>
    <row r="248" spans="1:14" x14ac:dyDescent="0.25">
      <c r="E248" s="5"/>
      <c r="F248" s="5"/>
      <c r="G248" s="5"/>
      <c r="H248" s="5"/>
      <c r="I248" s="5"/>
      <c r="J248" s="5"/>
      <c r="K248" s="5"/>
      <c r="L248" s="5"/>
    </row>
    <row r="251" spans="1:14" x14ac:dyDescent="0.25">
      <c r="A251" t="s">
        <v>40</v>
      </c>
      <c r="F251" s="5">
        <f>SUM(F2:F250)</f>
        <v>23154.18</v>
      </c>
      <c r="G251" s="5">
        <f t="shared" ref="G251:L251" si="0">SUM(G2:G250)</f>
        <v>9171.0799999999981</v>
      </c>
      <c r="H251" s="5">
        <f t="shared" si="0"/>
        <v>10824.82</v>
      </c>
      <c r="I251" s="5">
        <f t="shared" si="0"/>
        <v>32740.529999999984</v>
      </c>
      <c r="J251" s="5">
        <f t="shared" si="0"/>
        <v>1119.92</v>
      </c>
      <c r="K251" s="5">
        <f t="shared" si="0"/>
        <v>6282.34</v>
      </c>
      <c r="L251" s="5">
        <f t="shared" si="0"/>
        <v>44754.239999999991</v>
      </c>
      <c r="N251" s="5">
        <f>SUM(F251:M251)</f>
        <v>128047.10999999997</v>
      </c>
    </row>
    <row r="296" spans="9:9" x14ac:dyDescent="0.25">
      <c r="I296">
        <f>SUM(I2:I295)</f>
        <v>65481.059999999969</v>
      </c>
    </row>
  </sheetData>
  <autoFilter ref="A1:R1" xr:uid="{D843C02C-F136-436B-A452-DBB72A6E0BC1}"/>
  <pageMargins left="0.7" right="0.7" top="0.78740157499999996" bottom="0.78740157499999996" header="0.3" footer="0.3"/>
  <pageSetup paperSize="9" orientation="portrait" horizontalDpi="1200" verticalDpi="1200" r:id="rId1"/>
  <headerFooter>
    <oddFooter>&amp;C_x000D_&amp;1#&amp;"Aptos"&amp;10&amp;K000000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B048-94B9-4C61-9932-E899D3320366}">
  <dimension ref="A1:Q105"/>
  <sheetViews>
    <sheetView workbookViewId="0"/>
  </sheetViews>
  <sheetFormatPr baseColWidth="10" defaultColWidth="11.42578125" defaultRowHeight="15" x14ac:dyDescent="0.25"/>
  <cols>
    <col min="2" max="2" width="35.140625" customWidth="1"/>
    <col min="3" max="3" width="23.5703125" customWidth="1"/>
    <col min="4" max="4" width="26.28515625" customWidth="1"/>
  </cols>
  <sheetData>
    <row r="1" spans="1:13" x14ac:dyDescent="0.25">
      <c r="A1" t="s">
        <v>41</v>
      </c>
      <c r="B1" s="1" t="s">
        <v>411</v>
      </c>
      <c r="C1" s="1" t="s">
        <v>42</v>
      </c>
      <c r="D1" s="1" t="s">
        <v>43</v>
      </c>
      <c r="E1" s="7" t="s">
        <v>22</v>
      </c>
      <c r="F1" s="7" t="s">
        <v>26</v>
      </c>
      <c r="G1" s="7" t="s">
        <v>23</v>
      </c>
      <c r="H1" s="7" t="s">
        <v>27</v>
      </c>
      <c r="I1" s="7" t="s">
        <v>29</v>
      </c>
      <c r="J1" s="7" t="s">
        <v>30</v>
      </c>
      <c r="K1" s="7" t="s">
        <v>31</v>
      </c>
      <c r="L1" s="1" t="s">
        <v>44</v>
      </c>
      <c r="M1" s="1" t="s">
        <v>40</v>
      </c>
    </row>
    <row r="2" spans="1:13" x14ac:dyDescent="0.25">
      <c r="A2" s="2">
        <v>45388</v>
      </c>
      <c r="B2" t="s">
        <v>848</v>
      </c>
      <c r="C2" t="s">
        <v>849</v>
      </c>
      <c r="D2" t="s">
        <v>850</v>
      </c>
      <c r="E2" s="5"/>
      <c r="F2" s="5"/>
      <c r="G2" s="5"/>
      <c r="H2" s="5">
        <v>489.28</v>
      </c>
      <c r="I2" s="5"/>
      <c r="J2" s="5"/>
      <c r="K2" s="5"/>
      <c r="L2" t="s">
        <v>220</v>
      </c>
    </row>
    <row r="3" spans="1:13" x14ac:dyDescent="0.25">
      <c r="A3" s="2">
        <v>45504</v>
      </c>
      <c r="B3" t="s">
        <v>848</v>
      </c>
      <c r="C3" t="s">
        <v>851</v>
      </c>
      <c r="D3" t="s">
        <v>850</v>
      </c>
      <c r="E3" s="5"/>
      <c r="F3" s="5"/>
      <c r="G3" s="5"/>
      <c r="H3" s="5">
        <v>2173.25</v>
      </c>
      <c r="I3" s="5"/>
      <c r="J3" s="5"/>
      <c r="K3" s="5"/>
      <c r="L3" t="s">
        <v>220</v>
      </c>
      <c r="M3" s="4"/>
    </row>
    <row r="4" spans="1:13" x14ac:dyDescent="0.25">
      <c r="A4" s="2">
        <v>45535</v>
      </c>
      <c r="B4" t="s">
        <v>848</v>
      </c>
      <c r="C4" t="s">
        <v>852</v>
      </c>
      <c r="D4" t="s">
        <v>853</v>
      </c>
      <c r="E4" s="5"/>
      <c r="F4" s="5"/>
      <c r="G4" s="5"/>
      <c r="H4" s="5">
        <v>28.46</v>
      </c>
      <c r="I4" s="5"/>
      <c r="J4" s="5"/>
      <c r="K4" s="5"/>
      <c r="L4" t="s">
        <v>220</v>
      </c>
    </row>
    <row r="5" spans="1:13" x14ac:dyDescent="0.25">
      <c r="A5" s="2">
        <v>45595</v>
      </c>
      <c r="B5" t="s">
        <v>848</v>
      </c>
      <c r="C5" t="s">
        <v>854</v>
      </c>
      <c r="D5" t="s">
        <v>855</v>
      </c>
      <c r="E5" s="5"/>
      <c r="F5" s="5"/>
      <c r="G5" s="5"/>
      <c r="H5" s="5">
        <v>96.09</v>
      </c>
      <c r="I5" s="5"/>
      <c r="J5" s="5"/>
      <c r="K5" s="5"/>
      <c r="L5" t="s">
        <v>220</v>
      </c>
    </row>
    <row r="6" spans="1:13" x14ac:dyDescent="0.25">
      <c r="A6" s="2">
        <v>45300</v>
      </c>
      <c r="B6" t="s">
        <v>848</v>
      </c>
      <c r="C6" t="s">
        <v>856</v>
      </c>
      <c r="D6" t="s">
        <v>850</v>
      </c>
      <c r="E6" s="5"/>
      <c r="F6" s="5">
        <v>182.17</v>
      </c>
      <c r="G6" s="5"/>
      <c r="H6" s="5"/>
      <c r="I6" s="5"/>
      <c r="J6" s="5"/>
      <c r="K6" s="5"/>
      <c r="L6" t="s">
        <v>47</v>
      </c>
    </row>
    <row r="7" spans="1:13" x14ac:dyDescent="0.25">
      <c r="A7" s="2">
        <v>45300</v>
      </c>
      <c r="B7" t="s">
        <v>848</v>
      </c>
      <c r="C7" t="s">
        <v>857</v>
      </c>
      <c r="D7" t="s">
        <v>855</v>
      </c>
      <c r="E7" s="5"/>
      <c r="F7" s="5">
        <v>146.86000000000001</v>
      </c>
      <c r="G7" s="5"/>
      <c r="H7" s="5"/>
      <c r="I7" s="5"/>
      <c r="J7" s="5"/>
      <c r="K7" s="5"/>
      <c r="L7" t="s">
        <v>47</v>
      </c>
    </row>
    <row r="8" spans="1:13" x14ac:dyDescent="0.25">
      <c r="A8" s="2">
        <v>45335</v>
      </c>
      <c r="B8" t="s">
        <v>848</v>
      </c>
      <c r="C8" t="s">
        <v>858</v>
      </c>
      <c r="D8" t="s">
        <v>850</v>
      </c>
      <c r="E8" s="5"/>
      <c r="F8" s="5">
        <v>287.57</v>
      </c>
      <c r="G8" s="5"/>
      <c r="H8" s="5"/>
      <c r="I8" s="5"/>
      <c r="J8" s="5"/>
      <c r="K8" s="5"/>
      <c r="L8" t="s">
        <v>47</v>
      </c>
    </row>
    <row r="9" spans="1:13" x14ac:dyDescent="0.25">
      <c r="A9" s="2">
        <v>45335</v>
      </c>
      <c r="B9" t="s">
        <v>848</v>
      </c>
      <c r="C9" t="s">
        <v>859</v>
      </c>
      <c r="D9" t="s">
        <v>850</v>
      </c>
      <c r="E9" s="5"/>
      <c r="F9" s="5">
        <v>42.88</v>
      </c>
      <c r="G9" s="5"/>
      <c r="H9" s="5"/>
      <c r="I9" s="5"/>
      <c r="J9" s="5"/>
      <c r="K9" s="5"/>
      <c r="L9" t="s">
        <v>47</v>
      </c>
    </row>
    <row r="10" spans="1:13" x14ac:dyDescent="0.25">
      <c r="A10" s="2">
        <v>45362</v>
      </c>
      <c r="B10" t="s">
        <v>848</v>
      </c>
      <c r="C10" t="s">
        <v>860</v>
      </c>
      <c r="D10" t="s">
        <v>861</v>
      </c>
      <c r="E10" s="5"/>
      <c r="F10" s="5">
        <v>179.89</v>
      </c>
      <c r="G10" s="5"/>
      <c r="H10" s="5"/>
      <c r="I10" s="5"/>
      <c r="J10" s="5"/>
      <c r="K10" s="5"/>
      <c r="L10" t="s">
        <v>47</v>
      </c>
    </row>
    <row r="11" spans="1:13" x14ac:dyDescent="0.25">
      <c r="A11" s="2">
        <v>45384</v>
      </c>
      <c r="B11" t="s">
        <v>848</v>
      </c>
      <c r="C11" t="s">
        <v>862</v>
      </c>
      <c r="D11" t="s">
        <v>850</v>
      </c>
      <c r="E11" s="5"/>
      <c r="F11" s="5">
        <v>817.42</v>
      </c>
      <c r="G11" s="5"/>
      <c r="H11" s="5"/>
      <c r="I11" s="5"/>
      <c r="J11" s="5"/>
      <c r="K11" s="5"/>
      <c r="L11" t="s">
        <v>47</v>
      </c>
    </row>
    <row r="12" spans="1:13" x14ac:dyDescent="0.25">
      <c r="A12" s="2">
        <v>45454</v>
      </c>
      <c r="B12" t="s">
        <v>848</v>
      </c>
      <c r="C12" t="s">
        <v>863</v>
      </c>
      <c r="D12" t="s">
        <v>850</v>
      </c>
      <c r="E12" s="5"/>
      <c r="F12" s="5">
        <v>209.03</v>
      </c>
      <c r="G12" s="5"/>
      <c r="H12" s="5"/>
      <c r="I12" s="5"/>
      <c r="J12" s="5"/>
      <c r="K12" s="5"/>
      <c r="L12" t="s">
        <v>47</v>
      </c>
    </row>
    <row r="13" spans="1:13" x14ac:dyDescent="0.25">
      <c r="A13" s="2">
        <v>45454</v>
      </c>
      <c r="B13" t="s">
        <v>848</v>
      </c>
      <c r="C13" t="s">
        <v>864</v>
      </c>
      <c r="D13" t="s">
        <v>850</v>
      </c>
      <c r="E13" s="5"/>
      <c r="F13" s="5">
        <v>33.49</v>
      </c>
      <c r="G13" s="5"/>
      <c r="H13" s="5"/>
      <c r="I13" s="5"/>
      <c r="J13" s="5"/>
      <c r="K13" s="5"/>
      <c r="L13" t="s">
        <v>47</v>
      </c>
    </row>
    <row r="14" spans="1:13" x14ac:dyDescent="0.25">
      <c r="A14" s="2">
        <v>45478</v>
      </c>
      <c r="B14" t="s">
        <v>848</v>
      </c>
      <c r="C14" t="s">
        <v>865</v>
      </c>
      <c r="D14" t="s">
        <v>850</v>
      </c>
      <c r="E14" s="5"/>
      <c r="F14" s="5">
        <v>23.4</v>
      </c>
      <c r="G14" s="5"/>
      <c r="H14" s="5"/>
      <c r="I14" s="5"/>
      <c r="J14" s="5"/>
      <c r="K14" s="5"/>
      <c r="L14" t="s">
        <v>47</v>
      </c>
    </row>
    <row r="15" spans="1:13" x14ac:dyDescent="0.25">
      <c r="A15" s="2">
        <v>45478</v>
      </c>
      <c r="B15" t="s">
        <v>848</v>
      </c>
      <c r="C15" t="s">
        <v>866</v>
      </c>
      <c r="D15" t="s">
        <v>850</v>
      </c>
      <c r="E15" s="5"/>
      <c r="F15" s="5">
        <v>153.35</v>
      </c>
      <c r="G15" s="5"/>
      <c r="H15" s="5"/>
      <c r="I15" s="5"/>
      <c r="J15" s="5"/>
      <c r="K15" s="5"/>
      <c r="L15" t="s">
        <v>47</v>
      </c>
    </row>
    <row r="16" spans="1:13" x14ac:dyDescent="0.25">
      <c r="A16" s="2">
        <v>45510</v>
      </c>
      <c r="B16" t="s">
        <v>848</v>
      </c>
      <c r="C16" t="s">
        <v>867</v>
      </c>
      <c r="D16" t="s">
        <v>850</v>
      </c>
      <c r="E16" s="5"/>
      <c r="F16" s="5">
        <v>71.13</v>
      </c>
      <c r="G16" s="5"/>
      <c r="H16" s="5"/>
      <c r="I16" s="5"/>
      <c r="J16" s="5"/>
      <c r="K16" s="5"/>
      <c r="L16" t="s">
        <v>47</v>
      </c>
    </row>
    <row r="17" spans="1:12" x14ac:dyDescent="0.25">
      <c r="A17" s="2">
        <v>45512</v>
      </c>
      <c r="B17" t="s">
        <v>848</v>
      </c>
      <c r="C17" t="s">
        <v>868</v>
      </c>
      <c r="D17" t="s">
        <v>861</v>
      </c>
      <c r="E17" s="5"/>
      <c r="F17" s="5">
        <v>515.07000000000005</v>
      </c>
      <c r="G17" s="5"/>
      <c r="H17" s="5"/>
      <c r="I17" s="5"/>
      <c r="J17" s="5"/>
      <c r="K17" s="5"/>
      <c r="L17" t="s">
        <v>47</v>
      </c>
    </row>
    <row r="18" spans="1:12" x14ac:dyDescent="0.25">
      <c r="A18" s="2">
        <v>45545</v>
      </c>
      <c r="B18" t="s">
        <v>848</v>
      </c>
      <c r="C18" t="s">
        <v>869</v>
      </c>
      <c r="D18" t="s">
        <v>870</v>
      </c>
      <c r="E18" s="5"/>
      <c r="F18" s="5">
        <v>121.28</v>
      </c>
      <c r="G18" s="5"/>
      <c r="H18" s="5"/>
      <c r="I18" s="5"/>
      <c r="J18" s="5"/>
      <c r="K18" s="5"/>
      <c r="L18" t="s">
        <v>47</v>
      </c>
    </row>
    <row r="19" spans="1:12" x14ac:dyDescent="0.25">
      <c r="A19" s="2">
        <v>45572</v>
      </c>
      <c r="B19" t="s">
        <v>848</v>
      </c>
      <c r="C19" t="s">
        <v>871</v>
      </c>
      <c r="D19" t="s">
        <v>850</v>
      </c>
      <c r="E19" s="5"/>
      <c r="F19" s="5">
        <v>460.74</v>
      </c>
      <c r="G19" s="5"/>
      <c r="H19" s="5"/>
      <c r="I19" s="5"/>
      <c r="J19" s="5"/>
      <c r="K19" s="5"/>
      <c r="L19" t="s">
        <v>47</v>
      </c>
    </row>
    <row r="20" spans="1:12" x14ac:dyDescent="0.25">
      <c r="A20" s="2">
        <v>45607</v>
      </c>
      <c r="B20" t="s">
        <v>848</v>
      </c>
      <c r="C20" t="s">
        <v>872</v>
      </c>
      <c r="D20" t="s">
        <v>828</v>
      </c>
      <c r="E20" s="5"/>
      <c r="F20" s="5">
        <v>141.84</v>
      </c>
      <c r="G20" s="5"/>
      <c r="H20" s="5"/>
      <c r="I20" s="5"/>
      <c r="J20" s="5"/>
      <c r="K20" s="5"/>
      <c r="L20" t="s">
        <v>47</v>
      </c>
    </row>
    <row r="21" spans="1:12" x14ac:dyDescent="0.25">
      <c r="A21" s="2">
        <v>45607</v>
      </c>
      <c r="B21" t="s">
        <v>848</v>
      </c>
      <c r="C21" t="s">
        <v>873</v>
      </c>
      <c r="D21" t="s">
        <v>828</v>
      </c>
      <c r="E21" s="5"/>
      <c r="F21" s="5">
        <v>366.56</v>
      </c>
      <c r="G21" s="5"/>
      <c r="H21" s="5"/>
      <c r="I21" s="5"/>
      <c r="J21" s="5"/>
      <c r="K21" s="5"/>
      <c r="L21" t="s">
        <v>47</v>
      </c>
    </row>
    <row r="22" spans="1:12" x14ac:dyDescent="0.25">
      <c r="A22" s="2">
        <v>45607</v>
      </c>
      <c r="B22" t="s">
        <v>848</v>
      </c>
      <c r="C22" t="s">
        <v>874</v>
      </c>
      <c r="D22" t="s">
        <v>875</v>
      </c>
      <c r="E22" s="5"/>
      <c r="F22" s="5">
        <v>1223.79</v>
      </c>
      <c r="G22" s="5"/>
      <c r="H22" s="5"/>
      <c r="I22" s="5"/>
      <c r="J22" s="5"/>
      <c r="K22" s="5"/>
      <c r="L22" t="s">
        <v>47</v>
      </c>
    </row>
    <row r="23" spans="1:12" x14ac:dyDescent="0.25">
      <c r="A23" s="2">
        <v>45629</v>
      </c>
      <c r="B23" t="s">
        <v>848</v>
      </c>
      <c r="C23" t="s">
        <v>876</v>
      </c>
      <c r="D23" t="s">
        <v>850</v>
      </c>
      <c r="E23" s="5"/>
      <c r="F23" s="5">
        <v>151.72</v>
      </c>
      <c r="G23" s="5"/>
      <c r="H23" s="5"/>
      <c r="I23" s="5"/>
      <c r="J23" s="5"/>
      <c r="K23" s="5"/>
      <c r="L23" t="s">
        <v>47</v>
      </c>
    </row>
    <row r="24" spans="1:12" x14ac:dyDescent="0.25">
      <c r="A24" s="2">
        <v>45629</v>
      </c>
      <c r="B24" t="s">
        <v>848</v>
      </c>
      <c r="C24" t="s">
        <v>877</v>
      </c>
      <c r="D24" t="s">
        <v>850</v>
      </c>
      <c r="E24" s="5"/>
      <c r="F24" s="5">
        <v>78.150000000000006</v>
      </c>
      <c r="G24" s="5"/>
      <c r="H24" s="5"/>
      <c r="I24" s="5"/>
      <c r="J24" s="5"/>
      <c r="K24" s="5"/>
      <c r="L24" t="s">
        <v>47</v>
      </c>
    </row>
    <row r="25" spans="1:12" x14ac:dyDescent="0.25">
      <c r="A25" s="2">
        <v>45474</v>
      </c>
      <c r="B25" t="s">
        <v>848</v>
      </c>
      <c r="C25" t="s">
        <v>878</v>
      </c>
      <c r="D25" t="s">
        <v>879</v>
      </c>
      <c r="E25" s="5"/>
      <c r="F25" s="5"/>
      <c r="G25" s="5">
        <v>204.1</v>
      </c>
      <c r="H25" s="5"/>
      <c r="I25" s="5"/>
      <c r="J25" s="5"/>
      <c r="K25" s="5"/>
      <c r="L25" t="s">
        <v>790</v>
      </c>
    </row>
    <row r="26" spans="1:12" x14ac:dyDescent="0.25">
      <c r="A26" s="2">
        <v>45369</v>
      </c>
      <c r="B26" t="s">
        <v>848</v>
      </c>
      <c r="C26" t="s">
        <v>880</v>
      </c>
      <c r="D26" t="s">
        <v>850</v>
      </c>
      <c r="E26" s="5">
        <v>145.18</v>
      </c>
      <c r="F26" s="5"/>
      <c r="G26" s="5"/>
      <c r="H26" s="5"/>
      <c r="I26" s="5"/>
      <c r="J26" s="5"/>
      <c r="K26" s="5"/>
      <c r="L26" t="s">
        <v>881</v>
      </c>
    </row>
    <row r="27" spans="1:12" x14ac:dyDescent="0.25">
      <c r="A27" s="2">
        <v>45320</v>
      </c>
      <c r="B27" t="s">
        <v>848</v>
      </c>
      <c r="C27" t="s">
        <v>882</v>
      </c>
      <c r="D27" t="s">
        <v>853</v>
      </c>
      <c r="E27" s="5"/>
      <c r="F27" s="5"/>
      <c r="G27" s="5"/>
      <c r="H27" s="5"/>
      <c r="I27" s="5">
        <v>1058.52</v>
      </c>
      <c r="J27" s="5"/>
      <c r="K27" s="5"/>
      <c r="L27" t="s">
        <v>68</v>
      </c>
    </row>
    <row r="28" spans="1:12" x14ac:dyDescent="0.25">
      <c r="A28" s="2">
        <v>45320</v>
      </c>
      <c r="B28" t="s">
        <v>848</v>
      </c>
      <c r="C28" t="s">
        <v>883</v>
      </c>
      <c r="D28" t="s">
        <v>884</v>
      </c>
      <c r="E28" s="5"/>
      <c r="F28" s="5"/>
      <c r="G28" s="5"/>
      <c r="H28" s="5"/>
      <c r="I28" s="5">
        <v>836.01</v>
      </c>
      <c r="J28" s="5"/>
      <c r="K28" s="5"/>
      <c r="L28" t="s">
        <v>68</v>
      </c>
    </row>
    <row r="29" spans="1:12" x14ac:dyDescent="0.25">
      <c r="A29" s="2">
        <v>45320</v>
      </c>
      <c r="B29" t="s">
        <v>848</v>
      </c>
      <c r="C29" t="s">
        <v>885</v>
      </c>
      <c r="D29" t="s">
        <v>853</v>
      </c>
      <c r="E29" s="5"/>
      <c r="F29" s="5"/>
      <c r="G29" s="5"/>
      <c r="H29" s="5"/>
      <c r="I29" s="5">
        <v>69.02</v>
      </c>
      <c r="J29" s="5"/>
      <c r="K29" s="5"/>
      <c r="L29" t="s">
        <v>68</v>
      </c>
    </row>
    <row r="30" spans="1:12" x14ac:dyDescent="0.25">
      <c r="A30" s="2">
        <v>45322</v>
      </c>
      <c r="B30" t="s">
        <v>848</v>
      </c>
      <c r="C30" t="s">
        <v>886</v>
      </c>
      <c r="D30" t="s">
        <v>884</v>
      </c>
      <c r="E30" s="5"/>
      <c r="F30" s="5"/>
      <c r="G30" s="5"/>
      <c r="H30" s="5"/>
      <c r="I30" s="5">
        <v>278.89</v>
      </c>
      <c r="J30" s="5"/>
      <c r="K30" s="5"/>
      <c r="L30" t="s">
        <v>68</v>
      </c>
    </row>
    <row r="31" spans="1:12" x14ac:dyDescent="0.25">
      <c r="A31" s="2">
        <v>45345</v>
      </c>
      <c r="B31" t="s">
        <v>848</v>
      </c>
      <c r="C31" t="s">
        <v>887</v>
      </c>
      <c r="D31" t="s">
        <v>884</v>
      </c>
      <c r="E31" s="5"/>
      <c r="F31" s="5"/>
      <c r="G31" s="5"/>
      <c r="H31" s="5"/>
      <c r="I31" s="5">
        <v>513.70000000000005</v>
      </c>
      <c r="J31" s="5"/>
      <c r="K31" s="5"/>
      <c r="L31" t="s">
        <v>68</v>
      </c>
    </row>
    <row r="32" spans="1:12" x14ac:dyDescent="0.25">
      <c r="A32" s="2">
        <v>45345</v>
      </c>
      <c r="B32" t="s">
        <v>848</v>
      </c>
      <c r="C32" t="s">
        <v>888</v>
      </c>
      <c r="D32" t="s">
        <v>884</v>
      </c>
      <c r="E32" s="5"/>
      <c r="F32" s="5"/>
      <c r="G32" s="5"/>
      <c r="H32" s="5"/>
      <c r="I32" s="5">
        <v>69.02</v>
      </c>
      <c r="J32" s="5"/>
      <c r="K32" s="5"/>
      <c r="L32" t="s">
        <v>68</v>
      </c>
    </row>
    <row r="33" spans="1:17" x14ac:dyDescent="0.25">
      <c r="A33" s="2">
        <v>45345</v>
      </c>
      <c r="B33" t="s">
        <v>848</v>
      </c>
      <c r="C33" t="s">
        <v>889</v>
      </c>
      <c r="D33" t="s">
        <v>884</v>
      </c>
      <c r="E33" s="5"/>
      <c r="F33" s="5"/>
      <c r="G33" s="5"/>
      <c r="H33" s="5"/>
      <c r="I33" s="5">
        <v>203.06</v>
      </c>
      <c r="J33" s="5"/>
      <c r="K33" s="5"/>
      <c r="L33" t="s">
        <v>68</v>
      </c>
    </row>
    <row r="34" spans="1:17" x14ac:dyDescent="0.25">
      <c r="A34" s="2">
        <v>45345</v>
      </c>
      <c r="B34" t="s">
        <v>848</v>
      </c>
      <c r="C34" t="s">
        <v>890</v>
      </c>
      <c r="D34" t="s">
        <v>891</v>
      </c>
      <c r="E34" s="5"/>
      <c r="F34" s="5"/>
      <c r="G34" s="5"/>
      <c r="H34" s="5"/>
      <c r="I34" s="5"/>
      <c r="J34" s="5">
        <v>34.51</v>
      </c>
      <c r="K34" s="5"/>
      <c r="L34" t="s">
        <v>68</v>
      </c>
    </row>
    <row r="35" spans="1:17" x14ac:dyDescent="0.25">
      <c r="A35" s="2">
        <v>45345</v>
      </c>
      <c r="B35" t="s">
        <v>848</v>
      </c>
      <c r="C35" t="s">
        <v>892</v>
      </c>
      <c r="D35" t="s">
        <v>893</v>
      </c>
      <c r="E35" s="5"/>
      <c r="F35" s="5"/>
      <c r="G35" s="5"/>
      <c r="H35" s="5"/>
      <c r="I35" s="5">
        <v>76.400000000000006</v>
      </c>
      <c r="J35" s="5"/>
      <c r="K35" s="5"/>
      <c r="L35" t="s">
        <v>68</v>
      </c>
    </row>
    <row r="36" spans="1:17" x14ac:dyDescent="0.25">
      <c r="A36" s="2">
        <v>45345</v>
      </c>
      <c r="B36" t="s">
        <v>848</v>
      </c>
      <c r="C36" t="s">
        <v>894</v>
      </c>
      <c r="D36" t="s">
        <v>879</v>
      </c>
      <c r="E36" s="5"/>
      <c r="F36" s="5"/>
      <c r="G36" s="5"/>
      <c r="H36" s="5"/>
      <c r="I36" s="5">
        <v>72.22</v>
      </c>
      <c r="J36" s="5"/>
      <c r="K36" s="5"/>
      <c r="L36" t="s">
        <v>68</v>
      </c>
    </row>
    <row r="37" spans="1:17" x14ac:dyDescent="0.25">
      <c r="A37" s="2">
        <v>45345</v>
      </c>
      <c r="B37" t="s">
        <v>848</v>
      </c>
      <c r="C37" t="s">
        <v>895</v>
      </c>
      <c r="D37" t="s">
        <v>879</v>
      </c>
      <c r="E37" s="5"/>
      <c r="F37" s="5"/>
      <c r="G37" s="5"/>
      <c r="H37" s="5"/>
      <c r="I37" s="5">
        <v>70.16</v>
      </c>
      <c r="J37" s="5"/>
      <c r="K37" s="5"/>
      <c r="L37" t="s">
        <v>68</v>
      </c>
    </row>
    <row r="38" spans="1:17" x14ac:dyDescent="0.25">
      <c r="A38" s="2">
        <v>45351</v>
      </c>
      <c r="B38" t="s">
        <v>848</v>
      </c>
      <c r="C38" t="s">
        <v>896</v>
      </c>
      <c r="D38" t="s">
        <v>884</v>
      </c>
      <c r="E38" s="5"/>
      <c r="F38" s="5"/>
      <c r="G38" s="5"/>
      <c r="H38" s="5"/>
      <c r="I38" s="5">
        <v>358.25</v>
      </c>
      <c r="J38" s="5"/>
      <c r="K38" s="5"/>
      <c r="L38" t="s">
        <v>68</v>
      </c>
    </row>
    <row r="39" spans="1:17" x14ac:dyDescent="0.25">
      <c r="A39" s="2">
        <v>45351</v>
      </c>
      <c r="B39" t="s">
        <v>848</v>
      </c>
      <c r="C39" t="s">
        <v>897</v>
      </c>
      <c r="D39" t="s">
        <v>884</v>
      </c>
      <c r="E39" s="5"/>
      <c r="F39" s="5"/>
      <c r="G39" s="5"/>
      <c r="H39" s="5"/>
      <c r="I39" s="5">
        <v>201.82</v>
      </c>
      <c r="J39" s="5"/>
      <c r="K39" s="5"/>
      <c r="L39" t="s">
        <v>68</v>
      </c>
      <c r="Q39" s="16"/>
    </row>
    <row r="40" spans="1:17" x14ac:dyDescent="0.25">
      <c r="A40" s="2">
        <v>45351</v>
      </c>
      <c r="B40" t="s">
        <v>848</v>
      </c>
      <c r="C40" t="s">
        <v>898</v>
      </c>
      <c r="D40" t="s">
        <v>853</v>
      </c>
      <c r="E40" s="5"/>
      <c r="F40" s="5"/>
      <c r="G40" s="5"/>
      <c r="H40" s="5"/>
      <c r="I40" s="5">
        <v>69.02</v>
      </c>
      <c r="J40" s="5"/>
      <c r="K40" s="5"/>
      <c r="L40" t="s">
        <v>68</v>
      </c>
      <c r="Q40" s="17"/>
    </row>
    <row r="41" spans="1:17" x14ac:dyDescent="0.25">
      <c r="A41" s="2">
        <v>45376</v>
      </c>
      <c r="B41" t="s">
        <v>848</v>
      </c>
      <c r="C41" t="s">
        <v>899</v>
      </c>
      <c r="D41" t="s">
        <v>900</v>
      </c>
      <c r="E41" s="5"/>
      <c r="F41" s="5"/>
      <c r="G41" s="5"/>
      <c r="H41" s="5"/>
      <c r="I41" s="5"/>
      <c r="J41" s="5">
        <v>69.02</v>
      </c>
      <c r="K41" s="5"/>
      <c r="L41" t="s">
        <v>68</v>
      </c>
      <c r="Q41" s="16"/>
    </row>
    <row r="42" spans="1:17" x14ac:dyDescent="0.25">
      <c r="A42" s="2">
        <v>45376</v>
      </c>
      <c r="B42" t="s">
        <v>848</v>
      </c>
      <c r="C42" t="s">
        <v>901</v>
      </c>
      <c r="D42" t="s">
        <v>884</v>
      </c>
      <c r="E42" s="5"/>
      <c r="F42" s="5"/>
      <c r="G42" s="5"/>
      <c r="H42" s="5"/>
      <c r="I42" s="5">
        <v>76.66</v>
      </c>
      <c r="J42" s="5"/>
      <c r="K42" s="5"/>
      <c r="L42" t="s">
        <v>68</v>
      </c>
      <c r="Q42" s="17"/>
    </row>
    <row r="43" spans="1:17" x14ac:dyDescent="0.25">
      <c r="A43" s="2">
        <v>45376</v>
      </c>
      <c r="B43" t="s">
        <v>848</v>
      </c>
      <c r="C43" t="s">
        <v>902</v>
      </c>
      <c r="D43" t="s">
        <v>884</v>
      </c>
      <c r="E43" s="5"/>
      <c r="F43" s="5"/>
      <c r="G43" s="5"/>
      <c r="H43" s="5"/>
      <c r="I43" s="5">
        <v>215.37</v>
      </c>
      <c r="J43" s="5"/>
      <c r="K43" s="5"/>
      <c r="L43" t="s">
        <v>68</v>
      </c>
      <c r="Q43" s="16"/>
    </row>
    <row r="44" spans="1:17" x14ac:dyDescent="0.25">
      <c r="A44" s="2">
        <v>45376</v>
      </c>
      <c r="B44" t="s">
        <v>848</v>
      </c>
      <c r="C44" t="s">
        <v>903</v>
      </c>
      <c r="D44" t="s">
        <v>853</v>
      </c>
      <c r="E44" s="5"/>
      <c r="F44" s="5"/>
      <c r="G44" s="5"/>
      <c r="H44" s="5"/>
      <c r="I44" s="5">
        <v>34.51</v>
      </c>
      <c r="J44" s="5"/>
      <c r="K44" s="5"/>
      <c r="L44" t="s">
        <v>68</v>
      </c>
      <c r="Q44" s="17"/>
    </row>
    <row r="45" spans="1:17" x14ac:dyDescent="0.25">
      <c r="A45" s="2">
        <v>45379</v>
      </c>
      <c r="B45" t="s">
        <v>848</v>
      </c>
      <c r="C45" t="s">
        <v>904</v>
      </c>
      <c r="D45" t="s">
        <v>905</v>
      </c>
      <c r="E45" s="5"/>
      <c r="F45" s="5"/>
      <c r="G45" s="5"/>
      <c r="H45" s="5"/>
      <c r="I45" s="5">
        <v>92.88</v>
      </c>
      <c r="J45" s="5"/>
      <c r="K45" s="5"/>
      <c r="L45" t="s">
        <v>68</v>
      </c>
      <c r="Q45" s="16"/>
    </row>
    <row r="46" spans="1:17" x14ac:dyDescent="0.25">
      <c r="A46" s="2">
        <v>45406</v>
      </c>
      <c r="B46" t="s">
        <v>848</v>
      </c>
      <c r="C46" t="s">
        <v>906</v>
      </c>
      <c r="D46" t="s">
        <v>853</v>
      </c>
      <c r="E46" s="5"/>
      <c r="F46" s="5"/>
      <c r="G46" s="5"/>
      <c r="H46" s="5"/>
      <c r="I46" s="5">
        <v>1617.59</v>
      </c>
      <c r="J46" s="5"/>
      <c r="K46" s="5"/>
      <c r="L46" t="s">
        <v>68</v>
      </c>
      <c r="Q46" s="17"/>
    </row>
    <row r="47" spans="1:17" x14ac:dyDescent="0.25">
      <c r="A47" s="2">
        <v>45406</v>
      </c>
      <c r="B47" t="s">
        <v>848</v>
      </c>
      <c r="C47" t="s">
        <v>907</v>
      </c>
      <c r="D47" t="s">
        <v>908</v>
      </c>
      <c r="E47" s="5"/>
      <c r="F47" s="5"/>
      <c r="G47" s="5"/>
      <c r="H47" s="5"/>
      <c r="I47" s="5">
        <v>522.67999999999995</v>
      </c>
      <c r="J47" s="5"/>
      <c r="K47" s="5"/>
      <c r="L47" t="s">
        <v>68</v>
      </c>
    </row>
    <row r="48" spans="1:17" x14ac:dyDescent="0.25">
      <c r="A48" s="2">
        <v>45406</v>
      </c>
      <c r="B48" t="s">
        <v>848</v>
      </c>
      <c r="C48" t="s">
        <v>909</v>
      </c>
      <c r="D48" t="s">
        <v>853</v>
      </c>
      <c r="E48" s="5"/>
      <c r="F48" s="5"/>
      <c r="G48" s="5"/>
      <c r="H48" s="5"/>
      <c r="I48" s="5">
        <v>604.55999999999995</v>
      </c>
      <c r="J48" s="5"/>
      <c r="K48" s="5"/>
      <c r="L48" t="s">
        <v>68</v>
      </c>
    </row>
    <row r="49" spans="1:12" x14ac:dyDescent="0.25">
      <c r="A49" s="2">
        <v>45406</v>
      </c>
      <c r="B49" t="s">
        <v>848</v>
      </c>
      <c r="C49" t="s">
        <v>910</v>
      </c>
      <c r="D49" t="s">
        <v>884</v>
      </c>
      <c r="E49" s="5"/>
      <c r="F49" s="5"/>
      <c r="G49" s="5"/>
      <c r="H49" s="5"/>
      <c r="I49" s="5">
        <v>69.02</v>
      </c>
      <c r="J49" s="5"/>
      <c r="K49" s="5"/>
      <c r="L49" t="s">
        <v>68</v>
      </c>
    </row>
    <row r="50" spans="1:12" x14ac:dyDescent="0.25">
      <c r="A50" s="2">
        <v>45407</v>
      </c>
      <c r="B50" t="s">
        <v>848</v>
      </c>
      <c r="C50" t="s">
        <v>911</v>
      </c>
      <c r="D50" t="s">
        <v>884</v>
      </c>
      <c r="E50" s="5"/>
      <c r="F50" s="5"/>
      <c r="G50" s="5"/>
      <c r="H50" s="5"/>
      <c r="I50" s="5">
        <v>235.64</v>
      </c>
      <c r="J50" s="5"/>
      <c r="K50" s="5"/>
      <c r="L50" t="s">
        <v>68</v>
      </c>
    </row>
    <row r="51" spans="1:12" x14ac:dyDescent="0.25">
      <c r="A51" s="2">
        <v>45435</v>
      </c>
      <c r="B51" t="s">
        <v>848</v>
      </c>
      <c r="C51" t="s">
        <v>912</v>
      </c>
      <c r="D51" t="s">
        <v>884</v>
      </c>
      <c r="E51" s="5"/>
      <c r="F51" s="5"/>
      <c r="G51" s="5"/>
      <c r="H51" s="5"/>
      <c r="I51" s="5">
        <v>395.51</v>
      </c>
      <c r="J51" s="5"/>
      <c r="K51" s="5"/>
      <c r="L51" t="s">
        <v>68</v>
      </c>
    </row>
    <row r="52" spans="1:12" x14ac:dyDescent="0.25">
      <c r="A52" s="2">
        <v>45442</v>
      </c>
      <c r="B52" t="s">
        <v>848</v>
      </c>
      <c r="C52" t="s">
        <v>913</v>
      </c>
      <c r="D52" t="s">
        <v>914</v>
      </c>
      <c r="E52" s="5"/>
      <c r="F52" s="5"/>
      <c r="G52" s="5"/>
      <c r="H52" s="5"/>
      <c r="I52" s="5">
        <v>34.51</v>
      </c>
      <c r="J52" s="5"/>
      <c r="K52" s="5"/>
      <c r="L52" t="s">
        <v>68</v>
      </c>
    </row>
    <row r="53" spans="1:12" x14ac:dyDescent="0.25">
      <c r="A53" s="2">
        <v>45468</v>
      </c>
      <c r="B53" t="s">
        <v>848</v>
      </c>
      <c r="C53" t="s">
        <v>915</v>
      </c>
      <c r="D53" t="s">
        <v>914</v>
      </c>
      <c r="E53" s="5"/>
      <c r="F53" s="5"/>
      <c r="G53" s="5"/>
      <c r="H53" s="5"/>
      <c r="I53" s="5">
        <v>69.02</v>
      </c>
      <c r="J53" s="5"/>
      <c r="K53" s="5"/>
      <c r="L53" t="s">
        <v>68</v>
      </c>
    </row>
    <row r="54" spans="1:12" x14ac:dyDescent="0.25">
      <c r="A54" s="2">
        <v>45468</v>
      </c>
      <c r="B54" t="s">
        <v>848</v>
      </c>
      <c r="C54" t="s">
        <v>916</v>
      </c>
      <c r="D54" t="s">
        <v>855</v>
      </c>
      <c r="E54" s="5"/>
      <c r="F54" s="5"/>
      <c r="G54" s="5"/>
      <c r="H54" s="5"/>
      <c r="I54" s="5">
        <v>115.11</v>
      </c>
      <c r="J54" s="5"/>
      <c r="K54" s="5"/>
      <c r="L54" t="s">
        <v>68</v>
      </c>
    </row>
    <row r="55" spans="1:12" x14ac:dyDescent="0.25">
      <c r="A55" s="2">
        <v>45468</v>
      </c>
      <c r="B55" t="s">
        <v>848</v>
      </c>
      <c r="C55" t="s">
        <v>917</v>
      </c>
      <c r="D55" t="s">
        <v>918</v>
      </c>
      <c r="E55" s="5"/>
      <c r="F55" s="5"/>
      <c r="G55" s="5"/>
      <c r="H55" s="5"/>
      <c r="I55" s="5">
        <v>34.51</v>
      </c>
      <c r="J55" s="5"/>
      <c r="K55" s="5"/>
      <c r="L55" t="s">
        <v>68</v>
      </c>
    </row>
    <row r="56" spans="1:12" x14ac:dyDescent="0.25">
      <c r="A56" s="2">
        <v>45468</v>
      </c>
      <c r="B56" t="s">
        <v>848</v>
      </c>
      <c r="C56" t="s">
        <v>919</v>
      </c>
      <c r="D56" t="s">
        <v>884</v>
      </c>
      <c r="E56" s="5"/>
      <c r="F56" s="5"/>
      <c r="G56" s="5"/>
      <c r="H56" s="5"/>
      <c r="I56" s="5">
        <v>117.54</v>
      </c>
      <c r="J56" s="5"/>
      <c r="K56" s="5"/>
      <c r="L56" t="s">
        <v>68</v>
      </c>
    </row>
    <row r="57" spans="1:12" x14ac:dyDescent="0.25">
      <c r="A57" s="2">
        <v>45468</v>
      </c>
      <c r="B57" t="s">
        <v>848</v>
      </c>
      <c r="C57" t="s">
        <v>920</v>
      </c>
      <c r="D57" t="s">
        <v>884</v>
      </c>
      <c r="E57" s="5"/>
      <c r="F57" s="5"/>
      <c r="G57" s="5"/>
      <c r="H57" s="5"/>
      <c r="I57" s="5">
        <v>308.27</v>
      </c>
      <c r="J57" s="5"/>
      <c r="K57" s="5"/>
      <c r="L57" t="s">
        <v>68</v>
      </c>
    </row>
    <row r="58" spans="1:12" x14ac:dyDescent="0.25">
      <c r="A58" s="2">
        <v>45468</v>
      </c>
      <c r="B58" t="s">
        <v>848</v>
      </c>
      <c r="C58" t="s">
        <v>921</v>
      </c>
      <c r="D58" t="s">
        <v>853</v>
      </c>
      <c r="E58" s="5"/>
      <c r="F58" s="5"/>
      <c r="G58" s="5"/>
      <c r="H58" s="5"/>
      <c r="I58" s="5">
        <v>164.27</v>
      </c>
      <c r="J58" s="5"/>
      <c r="K58" s="5"/>
      <c r="L58" t="s">
        <v>68</v>
      </c>
    </row>
    <row r="59" spans="1:12" x14ac:dyDescent="0.25">
      <c r="A59" s="2">
        <v>45468</v>
      </c>
      <c r="B59" t="s">
        <v>848</v>
      </c>
      <c r="C59" t="s">
        <v>922</v>
      </c>
      <c r="D59" t="s">
        <v>923</v>
      </c>
      <c r="E59" s="5"/>
      <c r="F59" s="5"/>
      <c r="G59" s="5"/>
      <c r="H59" s="5"/>
      <c r="I59" s="5">
        <v>34.51</v>
      </c>
      <c r="J59" s="5"/>
      <c r="K59" s="5"/>
      <c r="L59" t="s">
        <v>68</v>
      </c>
    </row>
    <row r="60" spans="1:12" x14ac:dyDescent="0.25">
      <c r="A60" s="2">
        <v>45468</v>
      </c>
      <c r="B60" t="s">
        <v>848</v>
      </c>
      <c r="C60" t="s">
        <v>924</v>
      </c>
      <c r="D60" t="s">
        <v>853</v>
      </c>
      <c r="E60" s="5"/>
      <c r="F60" s="5"/>
      <c r="G60" s="5"/>
      <c r="H60" s="5"/>
      <c r="I60" s="5">
        <v>69.02</v>
      </c>
      <c r="J60" s="5"/>
      <c r="K60" s="5"/>
      <c r="L60" t="s">
        <v>68</v>
      </c>
    </row>
    <row r="61" spans="1:12" x14ac:dyDescent="0.25">
      <c r="A61" s="2">
        <v>45470</v>
      </c>
      <c r="B61" t="s">
        <v>848</v>
      </c>
      <c r="C61" t="s">
        <v>925</v>
      </c>
      <c r="D61" t="s">
        <v>926</v>
      </c>
      <c r="E61" s="5"/>
      <c r="F61" s="5"/>
      <c r="G61" s="5"/>
      <c r="H61" s="5"/>
      <c r="I61" s="5">
        <v>34.51</v>
      </c>
      <c r="J61" s="5"/>
      <c r="K61" s="5"/>
      <c r="L61" t="s">
        <v>68</v>
      </c>
    </row>
    <row r="62" spans="1:12" x14ac:dyDescent="0.25">
      <c r="A62" s="2">
        <v>45470</v>
      </c>
      <c r="B62" t="s">
        <v>848</v>
      </c>
      <c r="C62" t="s">
        <v>927</v>
      </c>
      <c r="D62" t="s">
        <v>884</v>
      </c>
      <c r="E62" s="5"/>
      <c r="F62" s="5"/>
      <c r="G62" s="5"/>
      <c r="H62" s="5"/>
      <c r="I62" s="5">
        <v>69.02</v>
      </c>
      <c r="J62" s="5"/>
      <c r="K62" s="5"/>
      <c r="L62" t="s">
        <v>68</v>
      </c>
    </row>
    <row r="63" spans="1:12" x14ac:dyDescent="0.25">
      <c r="A63" s="2">
        <v>45491</v>
      </c>
      <c r="B63" t="s">
        <v>848</v>
      </c>
      <c r="C63" t="s">
        <v>928</v>
      </c>
      <c r="D63" t="s">
        <v>855</v>
      </c>
      <c r="E63" s="5"/>
      <c r="F63" s="5"/>
      <c r="G63" s="5"/>
      <c r="H63" s="5"/>
      <c r="I63" s="5">
        <v>137.41999999999999</v>
      </c>
      <c r="J63" s="5"/>
      <c r="K63" s="5"/>
      <c r="L63" t="s">
        <v>68</v>
      </c>
    </row>
    <row r="64" spans="1:12" x14ac:dyDescent="0.25">
      <c r="A64" s="2">
        <v>45491</v>
      </c>
      <c r="B64" t="s">
        <v>848</v>
      </c>
      <c r="C64" t="s">
        <v>929</v>
      </c>
      <c r="D64" t="s">
        <v>930</v>
      </c>
      <c r="E64" s="5"/>
      <c r="F64" s="5"/>
      <c r="G64" s="5"/>
      <c r="H64" s="5"/>
      <c r="I64" s="5">
        <v>1839.26</v>
      </c>
      <c r="J64" s="5"/>
      <c r="K64" s="5"/>
      <c r="L64" t="s">
        <v>68</v>
      </c>
    </row>
    <row r="65" spans="1:12" x14ac:dyDescent="0.25">
      <c r="A65" s="2">
        <v>45491</v>
      </c>
      <c r="B65" t="s">
        <v>848</v>
      </c>
      <c r="C65" t="s">
        <v>931</v>
      </c>
      <c r="D65" t="s">
        <v>932</v>
      </c>
      <c r="E65" s="5"/>
      <c r="F65" s="5"/>
      <c r="G65" s="5"/>
      <c r="H65" s="5"/>
      <c r="I65" s="5">
        <v>34.51</v>
      </c>
      <c r="J65" s="5"/>
      <c r="K65" s="5"/>
      <c r="L65" t="s">
        <v>68</v>
      </c>
    </row>
    <row r="66" spans="1:12" x14ac:dyDescent="0.25">
      <c r="A66" s="2">
        <v>45491</v>
      </c>
      <c r="B66" t="s">
        <v>848</v>
      </c>
      <c r="C66" t="s">
        <v>933</v>
      </c>
      <c r="D66" t="s">
        <v>884</v>
      </c>
      <c r="E66" s="5"/>
      <c r="F66" s="5"/>
      <c r="G66" s="5"/>
      <c r="H66" s="5"/>
      <c r="I66" s="5">
        <v>34.51</v>
      </c>
      <c r="J66" s="5"/>
      <c r="K66" s="5"/>
      <c r="L66" t="s">
        <v>68</v>
      </c>
    </row>
    <row r="67" spans="1:12" x14ac:dyDescent="0.25">
      <c r="A67" s="2">
        <v>45503</v>
      </c>
      <c r="B67" t="s">
        <v>848</v>
      </c>
      <c r="C67" t="s">
        <v>934</v>
      </c>
      <c r="D67" t="s">
        <v>930</v>
      </c>
      <c r="E67" s="5"/>
      <c r="F67" s="5"/>
      <c r="G67" s="5"/>
      <c r="H67" s="5"/>
      <c r="I67" s="5">
        <v>859.83</v>
      </c>
      <c r="J67" s="5"/>
      <c r="K67" s="5"/>
      <c r="L67" t="s">
        <v>68</v>
      </c>
    </row>
    <row r="68" spans="1:12" x14ac:dyDescent="0.25">
      <c r="A68" s="2">
        <v>45503</v>
      </c>
      <c r="B68" t="s">
        <v>848</v>
      </c>
      <c r="C68" t="s">
        <v>935</v>
      </c>
      <c r="D68" t="s">
        <v>930</v>
      </c>
      <c r="E68" s="5"/>
      <c r="F68" s="5"/>
      <c r="G68" s="5"/>
      <c r="H68" s="5"/>
      <c r="I68" s="5">
        <v>850.84</v>
      </c>
      <c r="J68" s="5"/>
      <c r="K68" s="5"/>
      <c r="L68" t="s">
        <v>68</v>
      </c>
    </row>
    <row r="69" spans="1:12" x14ac:dyDescent="0.25">
      <c r="A69" s="2">
        <v>45503</v>
      </c>
      <c r="B69" t="s">
        <v>848</v>
      </c>
      <c r="C69" t="s">
        <v>936</v>
      </c>
      <c r="D69" t="s">
        <v>884</v>
      </c>
      <c r="E69" s="5"/>
      <c r="F69" s="5"/>
      <c r="G69" s="5"/>
      <c r="H69" s="5"/>
      <c r="I69" s="5">
        <v>64.2</v>
      </c>
      <c r="J69" s="5"/>
      <c r="K69" s="5"/>
      <c r="L69" t="s">
        <v>68</v>
      </c>
    </row>
    <row r="70" spans="1:12" x14ac:dyDescent="0.25">
      <c r="A70" s="2">
        <v>45503</v>
      </c>
      <c r="B70" t="s">
        <v>848</v>
      </c>
      <c r="C70" t="s">
        <v>937</v>
      </c>
      <c r="D70" t="s">
        <v>853</v>
      </c>
      <c r="E70" s="5"/>
      <c r="F70" s="5"/>
      <c r="G70" s="5"/>
      <c r="H70" s="5"/>
      <c r="I70" s="5">
        <v>34.51</v>
      </c>
      <c r="J70" s="5"/>
      <c r="K70" s="5"/>
      <c r="L70" t="s">
        <v>68</v>
      </c>
    </row>
    <row r="71" spans="1:12" x14ac:dyDescent="0.25">
      <c r="A71" s="2">
        <v>45503</v>
      </c>
      <c r="B71" t="s">
        <v>848</v>
      </c>
      <c r="C71" t="s">
        <v>938</v>
      </c>
      <c r="D71" t="s">
        <v>914</v>
      </c>
      <c r="E71" s="5"/>
      <c r="F71" s="5"/>
      <c r="G71" s="5"/>
      <c r="H71" s="5"/>
      <c r="I71" s="5">
        <v>69.02</v>
      </c>
      <c r="J71" s="5"/>
      <c r="K71" s="5"/>
      <c r="L71" t="s">
        <v>68</v>
      </c>
    </row>
    <row r="72" spans="1:12" x14ac:dyDescent="0.25">
      <c r="A72" s="2">
        <v>45503</v>
      </c>
      <c r="B72" t="s">
        <v>848</v>
      </c>
      <c r="C72" t="s">
        <v>939</v>
      </c>
      <c r="D72" t="s">
        <v>884</v>
      </c>
      <c r="E72" s="5"/>
      <c r="F72" s="5"/>
      <c r="G72" s="5"/>
      <c r="H72" s="5"/>
      <c r="I72" s="5">
        <v>69.02</v>
      </c>
      <c r="J72" s="5"/>
      <c r="K72" s="5"/>
      <c r="L72" t="s">
        <v>68</v>
      </c>
    </row>
    <row r="73" spans="1:12" x14ac:dyDescent="0.25">
      <c r="A73" s="2">
        <v>45503</v>
      </c>
      <c r="B73" t="s">
        <v>848</v>
      </c>
      <c r="C73" t="s">
        <v>940</v>
      </c>
      <c r="D73" t="s">
        <v>853</v>
      </c>
      <c r="E73" s="5"/>
      <c r="F73" s="5"/>
      <c r="G73" s="5"/>
      <c r="H73" s="5"/>
      <c r="I73" s="5">
        <v>835.51</v>
      </c>
      <c r="J73" s="5"/>
      <c r="K73" s="5"/>
      <c r="L73" t="s">
        <v>68</v>
      </c>
    </row>
    <row r="74" spans="1:12" x14ac:dyDescent="0.25">
      <c r="A74" s="2">
        <v>45503</v>
      </c>
      <c r="B74" t="s">
        <v>848</v>
      </c>
      <c r="C74" t="s">
        <v>941</v>
      </c>
      <c r="D74" t="s">
        <v>855</v>
      </c>
      <c r="E74" s="5"/>
      <c r="F74" s="5"/>
      <c r="G74" s="5"/>
      <c r="H74" s="5"/>
      <c r="I74" s="5">
        <v>118.2</v>
      </c>
      <c r="J74" s="5"/>
      <c r="K74" s="5"/>
      <c r="L74" t="s">
        <v>68</v>
      </c>
    </row>
    <row r="75" spans="1:12" x14ac:dyDescent="0.25">
      <c r="A75" s="2">
        <v>45503</v>
      </c>
      <c r="B75" t="s">
        <v>848</v>
      </c>
      <c r="C75" t="s">
        <v>942</v>
      </c>
      <c r="D75" t="s">
        <v>853</v>
      </c>
      <c r="E75" s="5"/>
      <c r="F75" s="5"/>
      <c r="G75" s="5"/>
      <c r="H75" s="5"/>
      <c r="I75" s="5">
        <v>34.51</v>
      </c>
      <c r="J75" s="5"/>
      <c r="K75" s="5"/>
      <c r="L75" t="s">
        <v>68</v>
      </c>
    </row>
    <row r="76" spans="1:12" x14ac:dyDescent="0.25">
      <c r="A76" s="2">
        <v>45504</v>
      </c>
      <c r="B76" t="s">
        <v>848</v>
      </c>
      <c r="C76" t="s">
        <v>943</v>
      </c>
      <c r="D76" t="s">
        <v>853</v>
      </c>
      <c r="E76" s="5"/>
      <c r="F76" s="5"/>
      <c r="G76" s="5"/>
      <c r="H76" s="5"/>
      <c r="I76" s="5">
        <v>102.36</v>
      </c>
      <c r="J76" s="5"/>
      <c r="K76" s="5"/>
      <c r="L76" t="s">
        <v>68</v>
      </c>
    </row>
    <row r="77" spans="1:12" x14ac:dyDescent="0.25">
      <c r="A77" s="2">
        <v>45517</v>
      </c>
      <c r="B77" t="s">
        <v>848</v>
      </c>
      <c r="C77" t="s">
        <v>944</v>
      </c>
      <c r="D77" t="s">
        <v>945</v>
      </c>
      <c r="E77" s="5"/>
      <c r="F77" s="5"/>
      <c r="G77" s="5"/>
      <c r="H77" s="5"/>
      <c r="I77" s="5">
        <v>167.99</v>
      </c>
      <c r="J77" s="5"/>
      <c r="K77" s="5"/>
      <c r="L77" t="s">
        <v>68</v>
      </c>
    </row>
    <row r="78" spans="1:12" x14ac:dyDescent="0.25">
      <c r="A78" s="2">
        <v>45517</v>
      </c>
      <c r="B78" t="s">
        <v>848</v>
      </c>
      <c r="C78" t="s">
        <v>946</v>
      </c>
      <c r="D78" t="s">
        <v>855</v>
      </c>
      <c r="E78" s="5"/>
      <c r="F78" s="5"/>
      <c r="G78" s="5"/>
      <c r="H78" s="5"/>
      <c r="I78" s="5">
        <v>76.53</v>
      </c>
      <c r="J78" s="5"/>
      <c r="K78" s="5"/>
      <c r="L78" t="s">
        <v>68</v>
      </c>
    </row>
    <row r="79" spans="1:12" x14ac:dyDescent="0.25">
      <c r="A79" s="2">
        <v>45517</v>
      </c>
      <c r="B79" t="s">
        <v>848</v>
      </c>
      <c r="C79" t="s">
        <v>947</v>
      </c>
      <c r="D79" t="s">
        <v>853</v>
      </c>
      <c r="E79" s="5"/>
      <c r="F79" s="5"/>
      <c r="G79" s="5"/>
      <c r="H79" s="5"/>
      <c r="I79" s="5">
        <v>113.37</v>
      </c>
      <c r="J79" s="5"/>
      <c r="K79" s="5"/>
      <c r="L79" t="s">
        <v>68</v>
      </c>
    </row>
    <row r="80" spans="1:12" x14ac:dyDescent="0.25">
      <c r="A80" s="2">
        <v>45526</v>
      </c>
      <c r="B80" t="s">
        <v>848</v>
      </c>
      <c r="C80" t="s">
        <v>948</v>
      </c>
      <c r="D80" t="s">
        <v>855</v>
      </c>
      <c r="E80" s="5"/>
      <c r="F80" s="5"/>
      <c r="G80" s="5"/>
      <c r="H80" s="5"/>
      <c r="I80" s="5">
        <v>91.15</v>
      </c>
      <c r="J80" s="5"/>
      <c r="K80" s="5"/>
      <c r="L80" t="s">
        <v>68</v>
      </c>
    </row>
    <row r="81" spans="1:12" x14ac:dyDescent="0.25">
      <c r="A81" s="2">
        <v>45526</v>
      </c>
      <c r="B81" t="s">
        <v>848</v>
      </c>
      <c r="C81" t="s">
        <v>949</v>
      </c>
      <c r="D81" t="s">
        <v>853</v>
      </c>
      <c r="E81" s="5"/>
      <c r="F81" s="5"/>
      <c r="G81" s="5"/>
      <c r="H81" s="5"/>
      <c r="I81" s="5">
        <v>34.51</v>
      </c>
      <c r="J81" s="5"/>
      <c r="K81" s="5"/>
      <c r="L81" t="s">
        <v>68</v>
      </c>
    </row>
    <row r="82" spans="1:12" x14ac:dyDescent="0.25">
      <c r="A82" s="2">
        <v>45526</v>
      </c>
      <c r="B82" t="s">
        <v>848</v>
      </c>
      <c r="C82" t="s">
        <v>950</v>
      </c>
      <c r="D82" t="s">
        <v>884</v>
      </c>
      <c r="E82" s="5"/>
      <c r="F82" s="5"/>
      <c r="G82" s="5"/>
      <c r="H82" s="5"/>
      <c r="I82" s="5">
        <v>471.57</v>
      </c>
      <c r="J82" s="5"/>
      <c r="K82" s="5"/>
      <c r="L82" t="s">
        <v>68</v>
      </c>
    </row>
    <row r="83" spans="1:12" x14ac:dyDescent="0.25">
      <c r="A83" s="2">
        <v>45533</v>
      </c>
      <c r="B83" t="s">
        <v>848</v>
      </c>
      <c r="C83" t="s">
        <v>951</v>
      </c>
      <c r="D83" t="s">
        <v>853</v>
      </c>
      <c r="E83" s="5"/>
      <c r="F83" s="5"/>
      <c r="G83" s="5"/>
      <c r="H83" s="5"/>
      <c r="I83" s="5">
        <v>69.02</v>
      </c>
      <c r="J83" s="5"/>
      <c r="K83" s="5"/>
      <c r="L83" t="s">
        <v>68</v>
      </c>
    </row>
    <row r="84" spans="1:12" x14ac:dyDescent="0.25">
      <c r="A84" s="2">
        <v>45533</v>
      </c>
      <c r="B84" t="s">
        <v>848</v>
      </c>
      <c r="C84" t="s">
        <v>952</v>
      </c>
      <c r="D84" t="s">
        <v>853</v>
      </c>
      <c r="E84" s="5"/>
      <c r="F84" s="5"/>
      <c r="G84" s="5"/>
      <c r="H84" s="5"/>
      <c r="I84" s="5">
        <v>2760.8</v>
      </c>
      <c r="J84" s="5"/>
      <c r="K84" s="5"/>
      <c r="L84" t="s">
        <v>68</v>
      </c>
    </row>
    <row r="85" spans="1:12" x14ac:dyDescent="0.25">
      <c r="A85" s="2">
        <v>45533</v>
      </c>
      <c r="B85" t="s">
        <v>848</v>
      </c>
      <c r="C85" t="s">
        <v>953</v>
      </c>
      <c r="D85" t="s">
        <v>954</v>
      </c>
      <c r="E85" s="5"/>
      <c r="F85" s="5"/>
      <c r="G85" s="5"/>
      <c r="H85" s="5"/>
      <c r="I85" s="5">
        <v>34.51</v>
      </c>
      <c r="J85" s="5"/>
      <c r="K85" s="5"/>
      <c r="L85" t="s">
        <v>68</v>
      </c>
    </row>
    <row r="86" spans="1:12" x14ac:dyDescent="0.25">
      <c r="A86" s="2">
        <v>45555</v>
      </c>
      <c r="B86" t="s">
        <v>848</v>
      </c>
      <c r="C86" t="s">
        <v>955</v>
      </c>
      <c r="D86" t="s">
        <v>884</v>
      </c>
      <c r="E86" s="5"/>
      <c r="F86" s="5"/>
      <c r="G86" s="5"/>
      <c r="H86" s="5"/>
      <c r="I86" s="5">
        <v>261.73</v>
      </c>
      <c r="J86" s="5"/>
      <c r="K86" s="5"/>
      <c r="L86" t="s">
        <v>68</v>
      </c>
    </row>
    <row r="87" spans="1:12" x14ac:dyDescent="0.25">
      <c r="A87" s="2">
        <v>45560</v>
      </c>
      <c r="B87" t="s">
        <v>848</v>
      </c>
      <c r="C87" t="s">
        <v>956</v>
      </c>
      <c r="D87" t="s">
        <v>853</v>
      </c>
      <c r="E87" s="5"/>
      <c r="F87" s="5"/>
      <c r="G87" s="5"/>
      <c r="H87" s="5"/>
      <c r="I87" s="5">
        <v>314.08999999999997</v>
      </c>
      <c r="J87" s="5"/>
      <c r="K87" s="5"/>
      <c r="L87" t="s">
        <v>68</v>
      </c>
    </row>
    <row r="88" spans="1:12" x14ac:dyDescent="0.25">
      <c r="A88" s="2">
        <v>45560</v>
      </c>
      <c r="B88" t="s">
        <v>848</v>
      </c>
      <c r="C88" t="s">
        <v>957</v>
      </c>
      <c r="D88" t="s">
        <v>884</v>
      </c>
      <c r="E88" s="5"/>
      <c r="F88" s="5"/>
      <c r="G88" s="5"/>
      <c r="H88" s="5"/>
      <c r="I88" s="5">
        <v>73.349999999999994</v>
      </c>
      <c r="J88" s="5"/>
      <c r="K88" s="5"/>
      <c r="L88" t="s">
        <v>68</v>
      </c>
    </row>
    <row r="89" spans="1:12" x14ac:dyDescent="0.25">
      <c r="A89" s="2">
        <v>45560</v>
      </c>
      <c r="B89" t="s">
        <v>848</v>
      </c>
      <c r="C89" t="s">
        <v>958</v>
      </c>
      <c r="D89" t="s">
        <v>884</v>
      </c>
      <c r="E89" s="5"/>
      <c r="F89" s="5"/>
      <c r="G89" s="5"/>
      <c r="H89" s="5"/>
      <c r="I89" s="5">
        <v>124.21</v>
      </c>
      <c r="J89" s="5"/>
      <c r="K89" s="5"/>
      <c r="L89" t="s">
        <v>68</v>
      </c>
    </row>
    <row r="90" spans="1:12" x14ac:dyDescent="0.25">
      <c r="A90" s="2">
        <v>45574</v>
      </c>
      <c r="B90" t="s">
        <v>848</v>
      </c>
      <c r="C90" t="s">
        <v>959</v>
      </c>
      <c r="D90" t="s">
        <v>960</v>
      </c>
      <c r="E90" s="5"/>
      <c r="F90" s="5"/>
      <c r="G90" s="5"/>
      <c r="H90" s="5"/>
      <c r="I90" s="5">
        <v>34.51</v>
      </c>
      <c r="J90" s="5"/>
      <c r="K90" s="5"/>
      <c r="L90" t="s">
        <v>68</v>
      </c>
    </row>
    <row r="91" spans="1:12" x14ac:dyDescent="0.25">
      <c r="A91" s="2">
        <v>45574</v>
      </c>
      <c r="B91" t="s">
        <v>848</v>
      </c>
      <c r="C91" t="s">
        <v>961</v>
      </c>
      <c r="D91" t="s">
        <v>853</v>
      </c>
      <c r="E91" s="5"/>
      <c r="F91" s="5"/>
      <c r="G91" s="5"/>
      <c r="H91" s="5"/>
      <c r="I91" s="5">
        <v>139.5</v>
      </c>
      <c r="J91" s="5"/>
      <c r="K91" s="5"/>
      <c r="L91" t="s">
        <v>68</v>
      </c>
    </row>
    <row r="92" spans="1:12" x14ac:dyDescent="0.25">
      <c r="A92" s="2">
        <v>45574</v>
      </c>
      <c r="B92" t="s">
        <v>848</v>
      </c>
      <c r="C92" t="s">
        <v>962</v>
      </c>
      <c r="D92" t="s">
        <v>853</v>
      </c>
      <c r="E92" s="5"/>
      <c r="F92" s="5"/>
      <c r="G92" s="5"/>
      <c r="H92" s="5"/>
      <c r="I92" s="5">
        <v>1189.24</v>
      </c>
      <c r="J92" s="5"/>
      <c r="K92" s="5"/>
      <c r="L92" t="s">
        <v>68</v>
      </c>
    </row>
    <row r="93" spans="1:12" x14ac:dyDescent="0.25">
      <c r="A93" s="2">
        <v>45574</v>
      </c>
      <c r="B93" t="s">
        <v>848</v>
      </c>
      <c r="C93" t="s">
        <v>963</v>
      </c>
      <c r="D93" t="s">
        <v>884</v>
      </c>
      <c r="E93" s="5"/>
      <c r="F93" s="5"/>
      <c r="G93" s="5"/>
      <c r="H93" s="5"/>
      <c r="I93" s="5">
        <v>69.02</v>
      </c>
      <c r="J93" s="5"/>
      <c r="K93" s="5"/>
      <c r="L93" t="s">
        <v>68</v>
      </c>
    </row>
    <row r="94" spans="1:12" x14ac:dyDescent="0.25">
      <c r="A94" s="2">
        <v>45574</v>
      </c>
      <c r="B94" t="s">
        <v>848</v>
      </c>
      <c r="C94" t="s">
        <v>964</v>
      </c>
      <c r="D94" t="s">
        <v>855</v>
      </c>
      <c r="E94" s="5"/>
      <c r="F94" s="5"/>
      <c r="G94" s="5"/>
      <c r="H94" s="5"/>
      <c r="I94" s="5">
        <v>78.05</v>
      </c>
      <c r="J94" s="5"/>
      <c r="K94" s="5"/>
      <c r="L94" t="s">
        <v>68</v>
      </c>
    </row>
    <row r="95" spans="1:12" x14ac:dyDescent="0.25">
      <c r="A95" s="2">
        <v>45574</v>
      </c>
      <c r="B95" t="s">
        <v>848</v>
      </c>
      <c r="C95" t="s">
        <v>965</v>
      </c>
      <c r="D95" t="s">
        <v>853</v>
      </c>
      <c r="E95" s="5"/>
      <c r="F95" s="5"/>
      <c r="G95" s="5"/>
      <c r="H95" s="5"/>
      <c r="I95" s="5">
        <v>262.22000000000003</v>
      </c>
      <c r="J95" s="5"/>
      <c r="K95" s="5"/>
      <c r="L95" t="s">
        <v>68</v>
      </c>
    </row>
    <row r="96" spans="1:12" x14ac:dyDescent="0.25">
      <c r="A96" s="2">
        <v>45624</v>
      </c>
      <c r="B96" t="s">
        <v>848</v>
      </c>
      <c r="C96" t="s">
        <v>966</v>
      </c>
      <c r="D96" t="s">
        <v>967</v>
      </c>
      <c r="E96" s="5"/>
      <c r="F96" s="5"/>
      <c r="G96" s="5"/>
      <c r="H96" s="5"/>
      <c r="I96" s="5">
        <v>69.02</v>
      </c>
      <c r="J96" s="5"/>
      <c r="K96" s="5"/>
      <c r="L96" t="s">
        <v>68</v>
      </c>
    </row>
    <row r="97" spans="1:13" x14ac:dyDescent="0.25">
      <c r="A97" s="2">
        <v>45624</v>
      </c>
      <c r="B97" t="s">
        <v>848</v>
      </c>
      <c r="C97" t="s">
        <v>968</v>
      </c>
      <c r="D97" t="s">
        <v>969</v>
      </c>
      <c r="E97" s="5"/>
      <c r="F97" s="5"/>
      <c r="G97" s="5"/>
      <c r="H97" s="5"/>
      <c r="J97" s="5"/>
      <c r="K97" s="5">
        <v>3526.11</v>
      </c>
      <c r="L97" t="s">
        <v>68</v>
      </c>
    </row>
    <row r="98" spans="1:13" x14ac:dyDescent="0.25">
      <c r="A98" s="2">
        <v>45638</v>
      </c>
      <c r="B98" t="s">
        <v>848</v>
      </c>
      <c r="C98" t="s">
        <v>970</v>
      </c>
      <c r="D98" t="s">
        <v>853</v>
      </c>
      <c r="E98" s="5"/>
      <c r="F98" s="5"/>
      <c r="G98" s="5"/>
      <c r="H98" s="5"/>
      <c r="I98" s="5">
        <v>172.31</v>
      </c>
      <c r="J98" s="5"/>
      <c r="K98" s="5"/>
      <c r="L98" t="s">
        <v>68</v>
      </c>
    </row>
    <row r="99" spans="1:13" x14ac:dyDescent="0.25">
      <c r="A99" s="2">
        <v>45638</v>
      </c>
      <c r="B99" t="s">
        <v>848</v>
      </c>
      <c r="C99" t="s">
        <v>971</v>
      </c>
      <c r="D99" t="s">
        <v>853</v>
      </c>
      <c r="E99" s="5"/>
      <c r="F99" s="5"/>
      <c r="G99" s="5"/>
      <c r="H99" s="5"/>
      <c r="I99" s="5">
        <v>34.51</v>
      </c>
      <c r="J99" s="5"/>
      <c r="K99" s="5"/>
      <c r="L99" t="s">
        <v>68</v>
      </c>
    </row>
    <row r="100" spans="1:13" x14ac:dyDescent="0.25">
      <c r="A100" s="2">
        <v>45638</v>
      </c>
      <c r="B100" t="s">
        <v>848</v>
      </c>
      <c r="C100" t="s">
        <v>971</v>
      </c>
      <c r="D100" t="s">
        <v>853</v>
      </c>
      <c r="E100" s="5"/>
      <c r="F100" s="5"/>
      <c r="G100" s="5"/>
      <c r="H100" s="5"/>
      <c r="I100" s="5">
        <v>69.02</v>
      </c>
      <c r="J100" s="5"/>
      <c r="K100" s="5"/>
      <c r="L100" t="s">
        <v>68</v>
      </c>
    </row>
    <row r="101" spans="1:13" x14ac:dyDescent="0.25">
      <c r="A101" s="2">
        <v>45503</v>
      </c>
      <c r="B101" t="s">
        <v>848</v>
      </c>
      <c r="C101" t="s">
        <v>972</v>
      </c>
      <c r="D101" t="s">
        <v>973</v>
      </c>
      <c r="E101" s="5"/>
      <c r="F101" s="5"/>
      <c r="G101" s="5">
        <v>1815.45</v>
      </c>
      <c r="H101" s="5"/>
      <c r="I101" s="5"/>
      <c r="J101" s="5"/>
      <c r="K101" s="5"/>
      <c r="L101" t="s">
        <v>790</v>
      </c>
    </row>
    <row r="103" spans="1:13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</row>
    <row r="104" spans="1:13" x14ac:dyDescent="0.25">
      <c r="B104" s="8" t="s">
        <v>974</v>
      </c>
      <c r="C104" s="8"/>
      <c r="D104" s="8"/>
      <c r="E104" s="9">
        <f>SUM(E2:E103)</f>
        <v>145.18</v>
      </c>
      <c r="F104" s="9">
        <f t="shared" ref="F104:K104" si="0">SUM(F2:F103)</f>
        <v>5206.3400000000011</v>
      </c>
      <c r="G104" s="9">
        <f t="shared" si="0"/>
        <v>2019.55</v>
      </c>
      <c r="H104" s="9">
        <f t="shared" si="0"/>
        <v>2787.08</v>
      </c>
      <c r="I104" s="9">
        <f t="shared" si="0"/>
        <v>20584.730000000007</v>
      </c>
      <c r="J104" s="9">
        <f t="shared" si="0"/>
        <v>103.53</v>
      </c>
      <c r="K104" s="9">
        <f t="shared" si="0"/>
        <v>3526.11</v>
      </c>
      <c r="L104" s="8"/>
      <c r="M104" s="9">
        <f>SUM(E104:L104)</f>
        <v>34372.520000000004</v>
      </c>
    </row>
    <row r="105" spans="1:13" x14ac:dyDescent="0.25">
      <c r="B105" t="s">
        <v>975</v>
      </c>
      <c r="E105" s="11">
        <f>E104/M104</f>
        <v>4.2237229042269807E-3</v>
      </c>
      <c r="F105" s="12">
        <f>F104/M104</f>
        <v>0.15146809137066472</v>
      </c>
      <c r="G105" s="11">
        <f>G104/M104</f>
        <v>5.8754784345168745E-2</v>
      </c>
      <c r="H105" s="11">
        <f>H104/M104</f>
        <v>8.1084540790142809E-2</v>
      </c>
      <c r="I105" s="11">
        <f>I104/M104</f>
        <v>0.59887171496299962</v>
      </c>
      <c r="J105" s="11">
        <f>J104/M104</f>
        <v>3.011999120227437E-3</v>
      </c>
      <c r="K105" s="11">
        <f>K104/M104</f>
        <v>0.10258514650656977</v>
      </c>
    </row>
  </sheetData>
  <autoFilter ref="A1:M101" xr:uid="{54F4B048-94B9-4C61-9932-E899D3320366}"/>
  <pageMargins left="0.7" right="0.7" top="0.78740157499999996" bottom="0.78740157499999996" header="0.3" footer="0.3"/>
  <headerFooter>
    <oddFooter>&amp;C_x000D_&amp;1#&amp;"Aptos"&amp;10&amp;K000000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F4FA-3B41-4A32-82DC-360515648861}">
  <sheetPr filterMode="1"/>
  <dimension ref="A1:O103"/>
  <sheetViews>
    <sheetView zoomScale="120" zoomScaleNormal="120" workbookViewId="0">
      <selection activeCell="J8" sqref="J8"/>
    </sheetView>
  </sheetViews>
  <sheetFormatPr baseColWidth="10" defaultColWidth="11.42578125" defaultRowHeight="15" x14ac:dyDescent="0.25"/>
  <cols>
    <col min="2" max="2" width="23.5703125" customWidth="1"/>
    <col min="3" max="3" width="27" customWidth="1"/>
    <col min="4" max="4" width="24" customWidth="1"/>
    <col min="5" max="5" width="11.140625" customWidth="1"/>
  </cols>
  <sheetData>
    <row r="1" spans="1:13" x14ac:dyDescent="0.25">
      <c r="A1" t="s">
        <v>41</v>
      </c>
      <c r="B1" s="1" t="s">
        <v>411</v>
      </c>
      <c r="C1" s="1" t="s">
        <v>42</v>
      </c>
      <c r="D1" s="1" t="s">
        <v>43</v>
      </c>
      <c r="E1" s="7" t="s">
        <v>22</v>
      </c>
      <c r="F1" s="7" t="s">
        <v>26</v>
      </c>
      <c r="G1" s="7" t="s">
        <v>23</v>
      </c>
      <c r="H1" s="7" t="s">
        <v>27</v>
      </c>
      <c r="I1" s="7" t="s">
        <v>29</v>
      </c>
      <c r="J1" s="7" t="s">
        <v>30</v>
      </c>
      <c r="K1" s="7" t="s">
        <v>31</v>
      </c>
      <c r="L1" s="1" t="s">
        <v>44</v>
      </c>
      <c r="M1" s="1" t="s">
        <v>40</v>
      </c>
    </row>
    <row r="2" spans="1:13" x14ac:dyDescent="0.25">
      <c r="A2" s="2">
        <v>45323</v>
      </c>
      <c r="B2" t="s">
        <v>976</v>
      </c>
      <c r="C2" t="s">
        <v>977</v>
      </c>
      <c r="D2" t="s">
        <v>879</v>
      </c>
      <c r="E2" s="5"/>
      <c r="F2" s="5"/>
      <c r="G2" s="5"/>
      <c r="H2" s="5">
        <v>205.43</v>
      </c>
      <c r="I2" s="5"/>
      <c r="J2" s="5"/>
      <c r="K2" s="5"/>
      <c r="L2" t="s">
        <v>220</v>
      </c>
    </row>
    <row r="3" spans="1:13" x14ac:dyDescent="0.25">
      <c r="A3" s="2">
        <v>45355</v>
      </c>
      <c r="B3" t="s">
        <v>976</v>
      </c>
      <c r="C3" t="s">
        <v>978</v>
      </c>
      <c r="D3" t="s">
        <v>879</v>
      </c>
      <c r="E3" s="5"/>
      <c r="F3" s="5"/>
      <c r="G3" s="5"/>
      <c r="H3" s="5">
        <v>160.84</v>
      </c>
      <c r="I3" s="5"/>
      <c r="J3" s="5"/>
      <c r="K3" s="5"/>
      <c r="L3" t="s">
        <v>220</v>
      </c>
    </row>
    <row r="4" spans="1:13" x14ac:dyDescent="0.25">
      <c r="A4" s="2">
        <v>45384</v>
      </c>
      <c r="B4" t="s">
        <v>976</v>
      </c>
      <c r="C4" t="s">
        <v>979</v>
      </c>
      <c r="D4" t="s">
        <v>879</v>
      </c>
      <c r="E4" s="5"/>
      <c r="F4" s="5"/>
      <c r="G4" s="5"/>
      <c r="H4" s="5">
        <v>772.74</v>
      </c>
      <c r="I4" s="5"/>
      <c r="J4" s="5"/>
      <c r="K4" s="5"/>
      <c r="L4" t="s">
        <v>220</v>
      </c>
    </row>
    <row r="5" spans="1:13" x14ac:dyDescent="0.25">
      <c r="A5" s="2">
        <v>45408</v>
      </c>
      <c r="B5" t="s">
        <v>976</v>
      </c>
      <c r="C5" t="s">
        <v>980</v>
      </c>
      <c r="D5" t="s">
        <v>879</v>
      </c>
      <c r="E5" s="5"/>
      <c r="F5" s="5"/>
      <c r="G5" s="5"/>
      <c r="H5" s="5">
        <v>367.63</v>
      </c>
      <c r="I5" s="5"/>
      <c r="J5" s="5"/>
      <c r="K5" s="5"/>
      <c r="L5" t="s">
        <v>220</v>
      </c>
    </row>
    <row r="6" spans="1:13" x14ac:dyDescent="0.25">
      <c r="A6" s="2">
        <v>45442</v>
      </c>
      <c r="B6" t="s">
        <v>976</v>
      </c>
      <c r="C6" t="s">
        <v>981</v>
      </c>
      <c r="D6" t="s">
        <v>879</v>
      </c>
      <c r="E6" s="5"/>
      <c r="F6" s="5"/>
      <c r="G6" s="5"/>
      <c r="H6" s="5">
        <v>415.73</v>
      </c>
      <c r="I6" s="5"/>
      <c r="J6" s="5"/>
      <c r="K6" s="5"/>
      <c r="L6" t="s">
        <v>220</v>
      </c>
    </row>
    <row r="7" spans="1:13" x14ac:dyDescent="0.25">
      <c r="A7" s="2">
        <v>45474</v>
      </c>
      <c r="B7" t="s">
        <v>976</v>
      </c>
      <c r="C7" t="s">
        <v>982</v>
      </c>
      <c r="D7" t="s">
        <v>879</v>
      </c>
      <c r="E7" s="5"/>
      <c r="F7" s="5"/>
      <c r="G7" s="5"/>
      <c r="H7" s="5">
        <v>193.78</v>
      </c>
      <c r="I7" s="5"/>
      <c r="J7" s="5"/>
      <c r="K7" s="5"/>
      <c r="L7" t="s">
        <v>220</v>
      </c>
    </row>
    <row r="8" spans="1:13" x14ac:dyDescent="0.25">
      <c r="A8" s="2">
        <v>45535</v>
      </c>
      <c r="B8" t="s">
        <v>976</v>
      </c>
      <c r="C8" t="s">
        <v>983</v>
      </c>
      <c r="D8" t="s">
        <v>879</v>
      </c>
      <c r="E8" s="5"/>
      <c r="F8" s="5"/>
      <c r="G8" s="5"/>
      <c r="H8" s="5">
        <v>323.87</v>
      </c>
      <c r="I8" s="5"/>
      <c r="J8" s="5"/>
      <c r="K8" s="5"/>
      <c r="L8" t="s">
        <v>220</v>
      </c>
    </row>
    <row r="9" spans="1:13" x14ac:dyDescent="0.25">
      <c r="A9" s="2">
        <v>45566</v>
      </c>
      <c r="B9" t="s">
        <v>976</v>
      </c>
      <c r="C9" t="s">
        <v>984</v>
      </c>
      <c r="D9" t="s">
        <v>985</v>
      </c>
      <c r="E9" s="5"/>
      <c r="F9" s="5"/>
      <c r="G9" s="5"/>
      <c r="H9" s="5">
        <v>96.21</v>
      </c>
      <c r="I9" s="5"/>
      <c r="J9" s="5"/>
      <c r="K9" s="5"/>
      <c r="L9" t="s">
        <v>220</v>
      </c>
    </row>
    <row r="10" spans="1:13" x14ac:dyDescent="0.25">
      <c r="A10" s="2">
        <v>45566</v>
      </c>
      <c r="B10" t="s">
        <v>976</v>
      </c>
      <c r="C10" t="s">
        <v>986</v>
      </c>
      <c r="D10" t="s">
        <v>879</v>
      </c>
      <c r="E10" s="5"/>
      <c r="F10" s="5"/>
      <c r="G10" s="5"/>
      <c r="H10" s="5">
        <v>200.73</v>
      </c>
      <c r="I10" s="5"/>
      <c r="J10" s="5"/>
      <c r="K10" s="5"/>
      <c r="L10" t="s">
        <v>220</v>
      </c>
    </row>
    <row r="11" spans="1:13" x14ac:dyDescent="0.25">
      <c r="A11" s="2">
        <v>45595</v>
      </c>
      <c r="B11" t="s">
        <v>976</v>
      </c>
      <c r="C11" t="s">
        <v>987</v>
      </c>
      <c r="D11" t="s">
        <v>879</v>
      </c>
      <c r="E11" s="5"/>
      <c r="F11" s="5"/>
      <c r="G11" s="5"/>
      <c r="H11" s="5">
        <v>349.44</v>
      </c>
      <c r="I11" s="5"/>
      <c r="J11" s="5"/>
      <c r="K11" s="5"/>
      <c r="L11" t="s">
        <v>220</v>
      </c>
    </row>
    <row r="12" spans="1:13" x14ac:dyDescent="0.25">
      <c r="A12" s="2">
        <v>45623</v>
      </c>
      <c r="B12" t="s">
        <v>976</v>
      </c>
      <c r="C12" t="s">
        <v>988</v>
      </c>
      <c r="D12" t="s">
        <v>879</v>
      </c>
      <c r="E12" s="5"/>
      <c r="F12" s="5"/>
      <c r="G12" s="5"/>
      <c r="H12" s="5">
        <v>366.29</v>
      </c>
      <c r="I12" s="5"/>
      <c r="J12" s="5"/>
      <c r="K12" s="5"/>
      <c r="L12" t="s">
        <v>220</v>
      </c>
    </row>
    <row r="13" spans="1:13" hidden="1" x14ac:dyDescent="0.25">
      <c r="A13" s="2">
        <v>45446</v>
      </c>
      <c r="B13" t="s">
        <v>976</v>
      </c>
      <c r="C13" s="3" t="s">
        <v>989</v>
      </c>
      <c r="D13" t="s">
        <v>879</v>
      </c>
      <c r="E13" s="5">
        <v>673.66</v>
      </c>
      <c r="F13" s="5"/>
      <c r="G13" s="5"/>
      <c r="H13" s="5"/>
      <c r="I13" s="5"/>
      <c r="J13" s="5"/>
      <c r="K13" s="5"/>
      <c r="L13" t="s">
        <v>990</v>
      </c>
    </row>
    <row r="14" spans="1:13" hidden="1" x14ac:dyDescent="0.25">
      <c r="A14" s="2">
        <v>45572</v>
      </c>
      <c r="B14" t="s">
        <v>976</v>
      </c>
      <c r="C14" s="3" t="s">
        <v>991</v>
      </c>
      <c r="E14" s="5">
        <v>910.35</v>
      </c>
      <c r="F14" s="5"/>
      <c r="G14" s="5"/>
      <c r="H14" s="5"/>
      <c r="I14" s="5"/>
      <c r="J14" s="5"/>
      <c r="K14" s="5"/>
      <c r="L14" t="s">
        <v>990</v>
      </c>
    </row>
    <row r="15" spans="1:13" hidden="1" x14ac:dyDescent="0.25">
      <c r="A15" s="2">
        <v>45300</v>
      </c>
      <c r="B15" t="s">
        <v>976</v>
      </c>
      <c r="C15" t="s">
        <v>992</v>
      </c>
      <c r="D15" t="s">
        <v>879</v>
      </c>
      <c r="E15" s="5"/>
      <c r="F15" s="5">
        <v>170.51</v>
      </c>
      <c r="G15" s="5"/>
      <c r="H15" s="5"/>
      <c r="I15" s="5"/>
      <c r="J15" s="5"/>
      <c r="K15" s="5"/>
      <c r="L15" t="s">
        <v>47</v>
      </c>
    </row>
    <row r="16" spans="1:13" hidden="1" x14ac:dyDescent="0.25">
      <c r="A16" s="2">
        <v>45335</v>
      </c>
      <c r="B16" t="s">
        <v>976</v>
      </c>
      <c r="C16" t="s">
        <v>993</v>
      </c>
      <c r="D16" t="s">
        <v>879</v>
      </c>
      <c r="E16" s="5"/>
      <c r="F16" s="5">
        <v>306.23</v>
      </c>
      <c r="G16" s="5"/>
      <c r="H16" s="5"/>
      <c r="I16" s="5"/>
      <c r="J16" s="5"/>
      <c r="K16" s="5"/>
      <c r="L16" t="s">
        <v>47</v>
      </c>
    </row>
    <row r="17" spans="1:12" hidden="1" x14ac:dyDescent="0.25">
      <c r="A17" s="2">
        <v>45362</v>
      </c>
      <c r="B17" t="s">
        <v>976</v>
      </c>
      <c r="C17" t="s">
        <v>994</v>
      </c>
      <c r="D17" t="s">
        <v>879</v>
      </c>
      <c r="E17" s="5"/>
      <c r="F17" s="5">
        <v>612.67999999999995</v>
      </c>
      <c r="G17" s="5"/>
      <c r="H17" s="5"/>
      <c r="I17" s="5"/>
      <c r="J17" s="5"/>
      <c r="K17" s="5"/>
      <c r="L17" t="s">
        <v>47</v>
      </c>
    </row>
    <row r="18" spans="1:12" hidden="1" x14ac:dyDescent="0.25">
      <c r="A18" s="2">
        <v>45384</v>
      </c>
      <c r="B18" t="s">
        <v>976</v>
      </c>
      <c r="C18" t="s">
        <v>995</v>
      </c>
      <c r="D18" t="s">
        <v>879</v>
      </c>
      <c r="E18" s="5"/>
      <c r="F18" s="5">
        <v>400.91</v>
      </c>
      <c r="G18" s="5"/>
      <c r="H18" s="5"/>
      <c r="I18" s="5"/>
      <c r="J18" s="5"/>
      <c r="K18" s="5"/>
      <c r="L18" t="s">
        <v>47</v>
      </c>
    </row>
    <row r="19" spans="1:12" hidden="1" x14ac:dyDescent="0.25">
      <c r="A19" s="2">
        <v>45454</v>
      </c>
      <c r="B19" t="s">
        <v>976</v>
      </c>
      <c r="C19" t="s">
        <v>996</v>
      </c>
      <c r="D19" t="s">
        <v>879</v>
      </c>
      <c r="E19" s="5"/>
      <c r="F19" s="5">
        <v>293.02</v>
      </c>
      <c r="G19" s="5"/>
      <c r="H19" s="5"/>
      <c r="I19" s="5"/>
      <c r="J19" s="5"/>
      <c r="K19" s="5"/>
      <c r="L19" t="s">
        <v>47</v>
      </c>
    </row>
    <row r="20" spans="1:12" hidden="1" x14ac:dyDescent="0.25">
      <c r="A20" s="2">
        <v>45478</v>
      </c>
      <c r="B20" t="s">
        <v>976</v>
      </c>
      <c r="C20" t="s">
        <v>997</v>
      </c>
      <c r="D20" t="s">
        <v>879</v>
      </c>
      <c r="E20" s="5"/>
      <c r="F20" s="5">
        <v>201.3</v>
      </c>
      <c r="G20" s="5"/>
      <c r="H20" s="5"/>
      <c r="I20" s="5"/>
      <c r="J20" s="5"/>
      <c r="K20" s="5"/>
      <c r="L20" t="s">
        <v>47</v>
      </c>
    </row>
    <row r="21" spans="1:12" hidden="1" x14ac:dyDescent="0.25">
      <c r="A21" s="2">
        <v>45509</v>
      </c>
      <c r="B21" t="s">
        <v>976</v>
      </c>
      <c r="C21" t="s">
        <v>998</v>
      </c>
      <c r="D21" t="s">
        <v>879</v>
      </c>
      <c r="E21" s="5"/>
      <c r="F21" s="5">
        <v>1176.6199999999999</v>
      </c>
      <c r="G21" s="5"/>
      <c r="H21" s="5"/>
      <c r="I21" s="5"/>
      <c r="J21" s="5"/>
      <c r="K21" s="5"/>
      <c r="L21" t="s">
        <v>47</v>
      </c>
    </row>
    <row r="22" spans="1:12" hidden="1" x14ac:dyDescent="0.25">
      <c r="A22" s="2">
        <v>45545</v>
      </c>
      <c r="B22" t="s">
        <v>976</v>
      </c>
      <c r="C22" t="s">
        <v>999</v>
      </c>
      <c r="D22" t="s">
        <v>879</v>
      </c>
      <c r="E22" s="5"/>
      <c r="F22" s="5">
        <v>754.72</v>
      </c>
      <c r="G22" s="5"/>
      <c r="H22" s="5"/>
      <c r="I22" s="5"/>
      <c r="J22" s="5"/>
      <c r="K22" s="5"/>
      <c r="L22" t="s">
        <v>47</v>
      </c>
    </row>
    <row r="23" spans="1:12" hidden="1" x14ac:dyDescent="0.25">
      <c r="A23" s="2">
        <v>45572</v>
      </c>
      <c r="B23" t="s">
        <v>976</v>
      </c>
      <c r="C23" t="s">
        <v>1000</v>
      </c>
      <c r="D23" t="s">
        <v>1001</v>
      </c>
      <c r="E23" s="5"/>
      <c r="F23" s="5">
        <v>35.479999999999997</v>
      </c>
      <c r="G23" s="5"/>
      <c r="H23" s="5"/>
      <c r="I23" s="5"/>
      <c r="J23" s="5"/>
      <c r="K23" s="5"/>
      <c r="L23" t="s">
        <v>47</v>
      </c>
    </row>
    <row r="24" spans="1:12" hidden="1" x14ac:dyDescent="0.25">
      <c r="A24" s="2">
        <v>45572</v>
      </c>
      <c r="B24" t="s">
        <v>976</v>
      </c>
      <c r="C24" t="s">
        <v>1002</v>
      </c>
      <c r="D24" t="s">
        <v>879</v>
      </c>
      <c r="E24" s="5"/>
      <c r="F24" s="5">
        <v>199.09</v>
      </c>
      <c r="G24" s="5"/>
      <c r="H24" s="5"/>
      <c r="I24" s="5"/>
      <c r="J24" s="5"/>
      <c r="K24" s="5"/>
      <c r="L24" t="s">
        <v>47</v>
      </c>
    </row>
    <row r="25" spans="1:12" hidden="1" x14ac:dyDescent="0.25">
      <c r="A25" s="2">
        <v>45607</v>
      </c>
      <c r="B25" t="s">
        <v>976</v>
      </c>
      <c r="C25" t="s">
        <v>1003</v>
      </c>
      <c r="D25" t="s">
        <v>879</v>
      </c>
      <c r="E25" s="5"/>
      <c r="F25" s="5">
        <v>333.03</v>
      </c>
      <c r="G25" s="5"/>
      <c r="H25" s="5"/>
      <c r="I25" s="5"/>
      <c r="J25" s="5"/>
      <c r="K25" s="5"/>
      <c r="L25" t="s">
        <v>47</v>
      </c>
    </row>
    <row r="26" spans="1:12" hidden="1" x14ac:dyDescent="0.25">
      <c r="A26" s="2">
        <v>45629</v>
      </c>
      <c r="B26" t="s">
        <v>976</v>
      </c>
      <c r="C26" t="s">
        <v>1004</v>
      </c>
      <c r="D26" t="s">
        <v>879</v>
      </c>
      <c r="E26" s="5"/>
      <c r="F26" s="5">
        <v>196.94</v>
      </c>
      <c r="G26" s="5"/>
      <c r="H26" s="5"/>
      <c r="I26" s="5"/>
      <c r="J26" s="5"/>
      <c r="K26" s="5"/>
      <c r="L26" t="s">
        <v>47</v>
      </c>
    </row>
    <row r="27" spans="1:12" hidden="1" x14ac:dyDescent="0.25">
      <c r="A27" s="2">
        <v>45434</v>
      </c>
      <c r="B27" t="s">
        <v>976</v>
      </c>
      <c r="C27" t="s">
        <v>1005</v>
      </c>
      <c r="D27" t="s">
        <v>1006</v>
      </c>
      <c r="E27" s="5">
        <v>691.88</v>
      </c>
      <c r="F27" s="5"/>
      <c r="G27" s="5"/>
      <c r="H27" s="5"/>
      <c r="I27" s="5"/>
      <c r="J27" s="5"/>
      <c r="K27" s="5"/>
      <c r="L27" t="s">
        <v>1007</v>
      </c>
    </row>
    <row r="28" spans="1:12" hidden="1" x14ac:dyDescent="0.25">
      <c r="A28" s="2">
        <v>45440</v>
      </c>
      <c r="B28" t="s">
        <v>976</v>
      </c>
      <c r="C28" t="s">
        <v>1008</v>
      </c>
      <c r="D28" t="s">
        <v>879</v>
      </c>
      <c r="E28" s="5"/>
      <c r="F28" s="5"/>
      <c r="G28" s="5">
        <v>703.69</v>
      </c>
      <c r="H28" s="5"/>
      <c r="I28" s="5"/>
      <c r="J28" s="5"/>
      <c r="K28" s="5"/>
      <c r="L28" t="s">
        <v>790</v>
      </c>
    </row>
    <row r="29" spans="1:12" hidden="1" x14ac:dyDescent="0.25">
      <c r="A29" s="2">
        <v>45320</v>
      </c>
      <c r="B29" t="s">
        <v>976</v>
      </c>
      <c r="C29" t="s">
        <v>1009</v>
      </c>
      <c r="D29" t="s">
        <v>879</v>
      </c>
      <c r="E29" s="5"/>
      <c r="F29" s="5"/>
      <c r="G29" s="5"/>
      <c r="H29" s="5"/>
      <c r="I29" s="5">
        <v>34.51</v>
      </c>
      <c r="J29" s="5"/>
      <c r="K29" s="5"/>
      <c r="L29" t="s">
        <v>68</v>
      </c>
    </row>
    <row r="30" spans="1:12" hidden="1" x14ac:dyDescent="0.25">
      <c r="A30" s="2">
        <v>45320</v>
      </c>
      <c r="B30" t="s">
        <v>976</v>
      </c>
      <c r="C30" t="s">
        <v>1010</v>
      </c>
      <c r="D30" t="s">
        <v>879</v>
      </c>
      <c r="E30" s="5"/>
      <c r="F30" s="5"/>
      <c r="G30" s="5"/>
      <c r="H30" s="5"/>
      <c r="I30" s="5">
        <v>34.51</v>
      </c>
      <c r="J30" s="5"/>
      <c r="K30" s="5"/>
      <c r="L30" t="s">
        <v>68</v>
      </c>
    </row>
    <row r="31" spans="1:12" hidden="1" x14ac:dyDescent="0.25">
      <c r="A31" s="2">
        <v>45320</v>
      </c>
      <c r="B31" t="s">
        <v>976</v>
      </c>
      <c r="C31" t="s">
        <v>1011</v>
      </c>
      <c r="D31" t="s">
        <v>879</v>
      </c>
      <c r="E31" s="5"/>
      <c r="F31" s="5"/>
      <c r="G31" s="5"/>
      <c r="H31" s="5"/>
      <c r="I31" s="5">
        <v>136.97999999999999</v>
      </c>
      <c r="J31" s="5"/>
      <c r="K31" s="5"/>
      <c r="L31" t="s">
        <v>68</v>
      </c>
    </row>
    <row r="32" spans="1:12" hidden="1" x14ac:dyDescent="0.25">
      <c r="A32" s="2">
        <v>45320</v>
      </c>
      <c r="B32" t="s">
        <v>976</v>
      </c>
      <c r="C32" t="s">
        <v>1012</v>
      </c>
      <c r="D32" t="s">
        <v>879</v>
      </c>
      <c r="E32" s="5"/>
      <c r="F32" s="5"/>
      <c r="G32" s="5"/>
      <c r="H32" s="5"/>
      <c r="I32" s="5">
        <v>78.37</v>
      </c>
      <c r="J32" s="5"/>
      <c r="K32" s="5"/>
      <c r="L32" t="s">
        <v>68</v>
      </c>
    </row>
    <row r="33" spans="1:12" hidden="1" x14ac:dyDescent="0.25">
      <c r="A33" s="2">
        <v>45322</v>
      </c>
      <c r="B33" t="s">
        <v>976</v>
      </c>
      <c r="C33" t="s">
        <v>1013</v>
      </c>
      <c r="D33" t="s">
        <v>879</v>
      </c>
      <c r="E33" s="5"/>
      <c r="F33" s="5"/>
      <c r="G33" s="5"/>
      <c r="H33" s="5"/>
      <c r="I33" s="5">
        <v>69.02</v>
      </c>
      <c r="J33" s="5"/>
      <c r="K33" s="5"/>
      <c r="L33" t="s">
        <v>68</v>
      </c>
    </row>
    <row r="34" spans="1:12" hidden="1" x14ac:dyDescent="0.25">
      <c r="A34" s="2">
        <v>45345</v>
      </c>
      <c r="B34" t="s">
        <v>976</v>
      </c>
      <c r="C34" t="s">
        <v>1014</v>
      </c>
      <c r="D34" t="s">
        <v>879</v>
      </c>
      <c r="E34" s="5"/>
      <c r="F34" s="5"/>
      <c r="G34" s="5"/>
      <c r="H34" s="5"/>
      <c r="I34" s="5">
        <v>171.66</v>
      </c>
      <c r="J34" s="5"/>
      <c r="K34" s="5"/>
      <c r="L34" t="s">
        <v>68</v>
      </c>
    </row>
    <row r="35" spans="1:12" hidden="1" x14ac:dyDescent="0.25">
      <c r="A35" s="2">
        <v>45345</v>
      </c>
      <c r="B35" t="s">
        <v>976</v>
      </c>
      <c r="C35" t="s">
        <v>1015</v>
      </c>
      <c r="D35" t="s">
        <v>879</v>
      </c>
      <c r="E35" s="5"/>
      <c r="F35" s="5"/>
      <c r="G35" s="5"/>
      <c r="H35" s="5"/>
      <c r="I35" s="5">
        <v>34.51</v>
      </c>
      <c r="J35" s="5"/>
      <c r="K35" s="5"/>
      <c r="L35" t="s">
        <v>68</v>
      </c>
    </row>
    <row r="36" spans="1:12" hidden="1" x14ac:dyDescent="0.25">
      <c r="A36" s="2">
        <v>45351</v>
      </c>
      <c r="B36" t="s">
        <v>976</v>
      </c>
      <c r="C36" t="s">
        <v>1016</v>
      </c>
      <c r="D36" t="s">
        <v>879</v>
      </c>
      <c r="E36" s="5"/>
      <c r="F36" s="5"/>
      <c r="G36" s="5"/>
      <c r="H36" s="5"/>
      <c r="I36" s="5">
        <v>69.02</v>
      </c>
      <c r="J36" s="5"/>
      <c r="K36" s="5"/>
      <c r="L36" t="s">
        <v>68</v>
      </c>
    </row>
    <row r="37" spans="1:12" hidden="1" x14ac:dyDescent="0.25">
      <c r="A37" s="2">
        <v>45351</v>
      </c>
      <c r="B37" t="s">
        <v>976</v>
      </c>
      <c r="C37" t="s">
        <v>1017</v>
      </c>
      <c r="D37" t="s">
        <v>879</v>
      </c>
      <c r="E37" s="5"/>
      <c r="F37" s="5"/>
      <c r="G37" s="5"/>
      <c r="H37" s="5"/>
      <c r="I37" s="5">
        <v>69.02</v>
      </c>
      <c r="J37" s="5"/>
      <c r="K37" s="5"/>
      <c r="L37" t="s">
        <v>68</v>
      </c>
    </row>
    <row r="38" spans="1:12" hidden="1" x14ac:dyDescent="0.25">
      <c r="A38" s="2">
        <v>45351</v>
      </c>
      <c r="B38" t="s">
        <v>976</v>
      </c>
      <c r="C38" t="s">
        <v>1018</v>
      </c>
      <c r="D38" t="s">
        <v>879</v>
      </c>
      <c r="E38" s="5"/>
      <c r="F38" s="5"/>
      <c r="G38" s="5"/>
      <c r="H38" s="5"/>
      <c r="I38" s="5">
        <v>96.91</v>
      </c>
      <c r="J38" s="5"/>
      <c r="K38" s="5"/>
      <c r="L38" t="s">
        <v>68</v>
      </c>
    </row>
    <row r="39" spans="1:12" hidden="1" x14ac:dyDescent="0.25">
      <c r="A39" s="2">
        <v>45351</v>
      </c>
      <c r="B39" t="s">
        <v>976</v>
      </c>
      <c r="C39" t="s">
        <v>1019</v>
      </c>
      <c r="D39" t="s">
        <v>879</v>
      </c>
      <c r="E39" s="5"/>
      <c r="F39" s="5"/>
      <c r="G39" s="5"/>
      <c r="H39" s="5"/>
      <c r="I39" s="5">
        <v>69.02</v>
      </c>
      <c r="J39" s="5"/>
      <c r="K39" s="5"/>
      <c r="L39" t="s">
        <v>68</v>
      </c>
    </row>
    <row r="40" spans="1:12" hidden="1" x14ac:dyDescent="0.25">
      <c r="A40" s="2">
        <v>45376</v>
      </c>
      <c r="B40" t="s">
        <v>976</v>
      </c>
      <c r="C40" t="s">
        <v>1020</v>
      </c>
      <c r="D40" t="s">
        <v>879</v>
      </c>
      <c r="E40" s="5"/>
      <c r="F40" s="5"/>
      <c r="G40" s="5"/>
      <c r="H40" s="5"/>
      <c r="I40" s="5">
        <v>88.1</v>
      </c>
      <c r="J40" s="5"/>
      <c r="K40" s="5"/>
      <c r="L40" t="s">
        <v>68</v>
      </c>
    </row>
    <row r="41" spans="1:12" hidden="1" x14ac:dyDescent="0.25">
      <c r="A41" s="2">
        <v>45376</v>
      </c>
      <c r="B41" t="s">
        <v>976</v>
      </c>
      <c r="C41" t="s">
        <v>1021</v>
      </c>
      <c r="D41" t="s">
        <v>879</v>
      </c>
      <c r="E41" s="5"/>
      <c r="F41" s="5"/>
      <c r="G41" s="5"/>
      <c r="H41" s="5"/>
      <c r="I41" s="5">
        <v>66.45</v>
      </c>
      <c r="J41" s="5"/>
      <c r="K41" s="5"/>
      <c r="L41" t="s">
        <v>68</v>
      </c>
    </row>
    <row r="42" spans="1:12" hidden="1" x14ac:dyDescent="0.25">
      <c r="A42" s="2">
        <v>45376</v>
      </c>
      <c r="B42" t="s">
        <v>976</v>
      </c>
      <c r="C42" t="s">
        <v>1022</v>
      </c>
      <c r="D42" t="s">
        <v>879</v>
      </c>
      <c r="E42" s="5"/>
      <c r="F42" s="5"/>
      <c r="G42" s="5"/>
      <c r="H42" s="5"/>
      <c r="I42" s="5">
        <v>69.02</v>
      </c>
      <c r="J42" s="5"/>
      <c r="K42" s="5"/>
      <c r="L42" t="s">
        <v>68</v>
      </c>
    </row>
    <row r="43" spans="1:12" hidden="1" x14ac:dyDescent="0.25">
      <c r="A43" s="2">
        <v>45376</v>
      </c>
      <c r="B43" t="s">
        <v>976</v>
      </c>
      <c r="C43" t="s">
        <v>1023</v>
      </c>
      <c r="D43" t="s">
        <v>879</v>
      </c>
      <c r="E43" s="5"/>
      <c r="F43" s="5"/>
      <c r="G43" s="5"/>
      <c r="H43" s="5"/>
      <c r="I43" s="5">
        <v>65.97</v>
      </c>
      <c r="J43" s="5"/>
      <c r="K43" s="5"/>
      <c r="L43" t="s">
        <v>68</v>
      </c>
    </row>
    <row r="44" spans="1:12" hidden="1" x14ac:dyDescent="0.25">
      <c r="A44" s="2">
        <v>45379</v>
      </c>
      <c r="B44" t="s">
        <v>976</v>
      </c>
      <c r="C44" t="s">
        <v>1024</v>
      </c>
      <c r="D44" t="s">
        <v>879</v>
      </c>
      <c r="E44" s="5"/>
      <c r="F44" s="5"/>
      <c r="G44" s="5"/>
      <c r="H44" s="5"/>
      <c r="I44" s="5">
        <v>129.36000000000001</v>
      </c>
      <c r="J44" s="5"/>
      <c r="K44" s="5"/>
      <c r="L44" t="s">
        <v>68</v>
      </c>
    </row>
    <row r="45" spans="1:12" hidden="1" x14ac:dyDescent="0.25">
      <c r="A45" s="2">
        <v>45379</v>
      </c>
      <c r="B45" t="s">
        <v>976</v>
      </c>
      <c r="C45" t="s">
        <v>1025</v>
      </c>
      <c r="D45" t="s">
        <v>884</v>
      </c>
      <c r="E45" s="5"/>
      <c r="F45" s="5"/>
      <c r="G45" s="5"/>
      <c r="H45" s="5"/>
      <c r="I45" s="5">
        <v>69.02</v>
      </c>
      <c r="J45" s="5"/>
      <c r="K45" s="5"/>
      <c r="L45" t="s">
        <v>68</v>
      </c>
    </row>
    <row r="46" spans="1:12" hidden="1" x14ac:dyDescent="0.25">
      <c r="A46" s="2">
        <v>45379</v>
      </c>
      <c r="B46" t="s">
        <v>976</v>
      </c>
      <c r="C46" t="s">
        <v>1026</v>
      </c>
      <c r="D46" t="s">
        <v>879</v>
      </c>
      <c r="E46" s="5"/>
      <c r="F46" s="5"/>
      <c r="G46" s="5"/>
      <c r="H46" s="5"/>
      <c r="I46" s="5">
        <v>88.87</v>
      </c>
      <c r="J46" s="5"/>
      <c r="K46" s="5"/>
      <c r="L46" t="s">
        <v>68</v>
      </c>
    </row>
    <row r="47" spans="1:12" hidden="1" x14ac:dyDescent="0.25">
      <c r="A47" s="2">
        <v>45406</v>
      </c>
      <c r="B47" t="s">
        <v>976</v>
      </c>
      <c r="C47" t="s">
        <v>1027</v>
      </c>
      <c r="D47" t="s">
        <v>879</v>
      </c>
      <c r="E47" s="5"/>
      <c r="F47" s="5"/>
      <c r="G47" s="5"/>
      <c r="H47" s="5"/>
      <c r="I47" s="5">
        <v>159.29</v>
      </c>
      <c r="J47" s="5"/>
      <c r="K47" s="5"/>
      <c r="L47" t="s">
        <v>68</v>
      </c>
    </row>
    <row r="48" spans="1:12" hidden="1" x14ac:dyDescent="0.25">
      <c r="A48" s="2">
        <v>45406</v>
      </c>
      <c r="B48" t="s">
        <v>976</v>
      </c>
      <c r="C48" t="s">
        <v>1028</v>
      </c>
      <c r="D48" t="s">
        <v>879</v>
      </c>
      <c r="E48" s="5"/>
      <c r="F48" s="5"/>
      <c r="G48" s="5"/>
      <c r="H48" s="5"/>
      <c r="I48" s="5">
        <v>34.51</v>
      </c>
      <c r="J48" s="5"/>
      <c r="K48" s="5"/>
      <c r="L48" t="s">
        <v>68</v>
      </c>
    </row>
    <row r="49" spans="1:12" hidden="1" x14ac:dyDescent="0.25">
      <c r="A49" s="2">
        <v>45435</v>
      </c>
      <c r="B49" t="s">
        <v>976</v>
      </c>
      <c r="C49" t="s">
        <v>1029</v>
      </c>
      <c r="D49" t="s">
        <v>879</v>
      </c>
      <c r="E49" s="5"/>
      <c r="F49" s="5"/>
      <c r="G49" s="5"/>
      <c r="H49" s="5"/>
      <c r="I49" s="5">
        <v>75.02</v>
      </c>
      <c r="J49" s="5"/>
      <c r="K49" s="5"/>
      <c r="L49" t="s">
        <v>68</v>
      </c>
    </row>
    <row r="50" spans="1:12" hidden="1" x14ac:dyDescent="0.25">
      <c r="A50" s="2">
        <v>45435</v>
      </c>
      <c r="B50" t="s">
        <v>976</v>
      </c>
      <c r="C50" t="s">
        <v>1030</v>
      </c>
      <c r="D50" t="s">
        <v>879</v>
      </c>
      <c r="E50" s="5"/>
      <c r="F50" s="5"/>
      <c r="G50" s="5"/>
      <c r="H50" s="5"/>
      <c r="I50" s="5">
        <v>75.81</v>
      </c>
      <c r="J50" s="5"/>
      <c r="K50" s="5"/>
      <c r="L50" t="s">
        <v>68</v>
      </c>
    </row>
    <row r="51" spans="1:12" hidden="1" x14ac:dyDescent="0.25">
      <c r="A51" s="2">
        <v>45435</v>
      </c>
      <c r="B51" t="s">
        <v>976</v>
      </c>
      <c r="C51" t="s">
        <v>1031</v>
      </c>
      <c r="D51" t="s">
        <v>879</v>
      </c>
      <c r="E51" s="5"/>
      <c r="F51" s="5"/>
      <c r="G51" s="5"/>
      <c r="H51" s="5"/>
      <c r="I51" s="5">
        <v>69.02</v>
      </c>
      <c r="J51" s="5"/>
      <c r="K51" s="5"/>
      <c r="L51" t="s">
        <v>68</v>
      </c>
    </row>
    <row r="52" spans="1:12" hidden="1" x14ac:dyDescent="0.25">
      <c r="A52" s="2">
        <v>45436</v>
      </c>
      <c r="B52" t="s">
        <v>976</v>
      </c>
      <c r="C52" t="s">
        <v>1032</v>
      </c>
      <c r="D52" t="s">
        <v>853</v>
      </c>
      <c r="E52" s="5"/>
      <c r="F52" s="5"/>
      <c r="G52" s="5"/>
      <c r="H52" s="5"/>
      <c r="I52" s="5">
        <v>831.55</v>
      </c>
      <c r="J52" s="5"/>
      <c r="K52" s="5"/>
      <c r="L52" t="s">
        <v>68</v>
      </c>
    </row>
    <row r="53" spans="1:12" hidden="1" x14ac:dyDescent="0.25">
      <c r="A53" s="2">
        <v>45442</v>
      </c>
      <c r="B53" t="s">
        <v>976</v>
      </c>
      <c r="C53" t="s">
        <v>1033</v>
      </c>
      <c r="D53" t="s">
        <v>879</v>
      </c>
      <c r="E53" s="5"/>
      <c r="F53" s="5"/>
      <c r="G53" s="5"/>
      <c r="H53" s="5"/>
      <c r="I53" s="5">
        <v>82.76</v>
      </c>
      <c r="J53" s="5"/>
      <c r="K53" s="5"/>
      <c r="L53" t="s">
        <v>68</v>
      </c>
    </row>
    <row r="54" spans="1:12" hidden="1" x14ac:dyDescent="0.25">
      <c r="A54" s="2">
        <v>45442</v>
      </c>
      <c r="B54" t="s">
        <v>976</v>
      </c>
      <c r="C54" t="s">
        <v>1034</v>
      </c>
      <c r="D54" t="s">
        <v>879</v>
      </c>
      <c r="E54" s="5"/>
      <c r="F54" s="5"/>
      <c r="G54" s="5"/>
      <c r="H54" s="5"/>
      <c r="I54" s="5">
        <v>69.02</v>
      </c>
      <c r="J54" s="5"/>
      <c r="K54" s="5"/>
      <c r="L54" t="s">
        <v>68</v>
      </c>
    </row>
    <row r="55" spans="1:12" hidden="1" x14ac:dyDescent="0.25">
      <c r="A55" s="2">
        <v>45442</v>
      </c>
      <c r="B55" t="s">
        <v>976</v>
      </c>
      <c r="C55" t="s">
        <v>1035</v>
      </c>
      <c r="D55" t="s">
        <v>879</v>
      </c>
      <c r="E55" s="5"/>
      <c r="F55" s="5"/>
      <c r="G55" s="5"/>
      <c r="H55" s="5"/>
      <c r="I55" s="5">
        <v>34.51</v>
      </c>
      <c r="J55" s="5"/>
      <c r="K55" s="5"/>
      <c r="L55" t="s">
        <v>68</v>
      </c>
    </row>
    <row r="56" spans="1:12" hidden="1" x14ac:dyDescent="0.25">
      <c r="A56" s="2">
        <v>45442</v>
      </c>
      <c r="B56" t="s">
        <v>976</v>
      </c>
      <c r="C56" t="s">
        <v>1036</v>
      </c>
      <c r="D56" t="s">
        <v>879</v>
      </c>
      <c r="E56" s="5"/>
      <c r="F56" s="5"/>
      <c r="G56" s="5"/>
      <c r="H56" s="5"/>
      <c r="I56" s="5">
        <v>83.86</v>
      </c>
      <c r="J56" s="5"/>
      <c r="K56" s="5"/>
      <c r="L56" t="s">
        <v>68</v>
      </c>
    </row>
    <row r="57" spans="1:12" hidden="1" x14ac:dyDescent="0.25">
      <c r="A57" s="2">
        <v>45442</v>
      </c>
      <c r="B57" t="s">
        <v>976</v>
      </c>
      <c r="C57" t="s">
        <v>1037</v>
      </c>
      <c r="D57" t="s">
        <v>879</v>
      </c>
      <c r="E57" s="5"/>
      <c r="F57" s="5"/>
      <c r="G57" s="5"/>
      <c r="H57" s="5"/>
      <c r="I57" s="5">
        <v>148.88999999999999</v>
      </c>
      <c r="J57" s="5"/>
      <c r="K57" s="5"/>
      <c r="L57" t="s">
        <v>68</v>
      </c>
    </row>
    <row r="58" spans="1:12" hidden="1" x14ac:dyDescent="0.25">
      <c r="A58" s="2">
        <v>45442</v>
      </c>
      <c r="B58" t="s">
        <v>976</v>
      </c>
      <c r="C58" t="s">
        <v>1038</v>
      </c>
      <c r="D58" t="s">
        <v>879</v>
      </c>
      <c r="E58" s="5"/>
      <c r="F58" s="5"/>
      <c r="G58" s="5"/>
      <c r="H58" s="5"/>
      <c r="I58" s="5">
        <v>244.68</v>
      </c>
      <c r="J58" s="5"/>
      <c r="K58" s="5"/>
      <c r="L58" t="s">
        <v>68</v>
      </c>
    </row>
    <row r="59" spans="1:12" hidden="1" x14ac:dyDescent="0.25">
      <c r="A59" s="2">
        <v>45442</v>
      </c>
      <c r="B59" t="s">
        <v>976</v>
      </c>
      <c r="C59" t="s">
        <v>1039</v>
      </c>
      <c r="D59" t="s">
        <v>879</v>
      </c>
      <c r="E59" s="5"/>
      <c r="F59" s="5"/>
      <c r="G59" s="5"/>
      <c r="H59" s="5"/>
      <c r="I59" s="5">
        <v>53.53</v>
      </c>
      <c r="J59" s="5"/>
      <c r="K59" s="5"/>
      <c r="L59" t="s">
        <v>68</v>
      </c>
    </row>
    <row r="60" spans="1:12" hidden="1" x14ac:dyDescent="0.25">
      <c r="A60" s="2">
        <v>45442</v>
      </c>
      <c r="B60" t="s">
        <v>976</v>
      </c>
      <c r="C60" t="s">
        <v>1040</v>
      </c>
      <c r="D60" t="s">
        <v>879</v>
      </c>
      <c r="E60" s="5"/>
      <c r="F60" s="5"/>
      <c r="G60" s="5"/>
      <c r="H60" s="5"/>
      <c r="I60" s="5">
        <v>77.650000000000006</v>
      </c>
      <c r="J60" s="5"/>
      <c r="K60" s="5"/>
      <c r="L60" t="s">
        <v>68</v>
      </c>
    </row>
    <row r="61" spans="1:12" hidden="1" x14ac:dyDescent="0.25">
      <c r="A61" s="2">
        <v>45468</v>
      </c>
      <c r="B61" t="s">
        <v>976</v>
      </c>
      <c r="C61" t="s">
        <v>1041</v>
      </c>
      <c r="D61" t="s">
        <v>879</v>
      </c>
      <c r="E61" s="5"/>
      <c r="F61" s="5"/>
      <c r="G61" s="5"/>
      <c r="H61" s="5"/>
      <c r="I61" s="5">
        <v>34.51</v>
      </c>
      <c r="J61" s="5"/>
      <c r="K61" s="5"/>
      <c r="L61" t="s">
        <v>68</v>
      </c>
    </row>
    <row r="62" spans="1:12" hidden="1" x14ac:dyDescent="0.25">
      <c r="A62" s="2">
        <v>45468</v>
      </c>
      <c r="B62" t="s">
        <v>976</v>
      </c>
      <c r="C62" t="s">
        <v>1042</v>
      </c>
      <c r="D62" t="s">
        <v>879</v>
      </c>
      <c r="E62" s="5"/>
      <c r="F62" s="5"/>
      <c r="G62" s="5"/>
      <c r="H62" s="5"/>
      <c r="I62" s="5">
        <v>105.76</v>
      </c>
      <c r="J62" s="5"/>
      <c r="K62" s="5"/>
      <c r="L62" t="s">
        <v>68</v>
      </c>
    </row>
    <row r="63" spans="1:12" hidden="1" x14ac:dyDescent="0.25">
      <c r="A63" s="2">
        <v>45468</v>
      </c>
      <c r="B63" t="s">
        <v>976</v>
      </c>
      <c r="C63" t="s">
        <v>1043</v>
      </c>
      <c r="D63" t="s">
        <v>879</v>
      </c>
      <c r="E63" s="5"/>
      <c r="F63" s="5"/>
      <c r="G63" s="5"/>
      <c r="H63" s="5"/>
      <c r="I63" s="5">
        <v>105.7</v>
      </c>
      <c r="J63" s="5"/>
      <c r="K63" s="5"/>
      <c r="L63" t="s">
        <v>68</v>
      </c>
    </row>
    <row r="64" spans="1:12" hidden="1" x14ac:dyDescent="0.25">
      <c r="A64" s="2">
        <v>45471</v>
      </c>
      <c r="B64" t="s">
        <v>976</v>
      </c>
      <c r="C64" t="s">
        <v>1044</v>
      </c>
      <c r="D64" t="s">
        <v>879</v>
      </c>
      <c r="E64" s="5"/>
      <c r="F64" s="5"/>
      <c r="G64" s="5"/>
      <c r="H64" s="5"/>
      <c r="I64" s="5">
        <v>49.3</v>
      </c>
      <c r="J64" s="5"/>
      <c r="K64" s="5"/>
      <c r="L64" t="s">
        <v>68</v>
      </c>
    </row>
    <row r="65" spans="1:15" hidden="1" x14ac:dyDescent="0.25">
      <c r="A65" s="2">
        <v>45503</v>
      </c>
      <c r="B65" t="s">
        <v>976</v>
      </c>
      <c r="C65" t="s">
        <v>1045</v>
      </c>
      <c r="D65" t="s">
        <v>879</v>
      </c>
      <c r="E65" s="5"/>
      <c r="F65" s="5"/>
      <c r="G65" s="5"/>
      <c r="H65" s="5"/>
      <c r="I65" s="5">
        <v>77.5</v>
      </c>
      <c r="J65" s="5"/>
      <c r="K65" s="5"/>
      <c r="L65" t="s">
        <v>68</v>
      </c>
    </row>
    <row r="66" spans="1:15" hidden="1" x14ac:dyDescent="0.25">
      <c r="A66" s="2">
        <v>45503</v>
      </c>
      <c r="B66" t="s">
        <v>976</v>
      </c>
      <c r="C66" t="s">
        <v>1046</v>
      </c>
      <c r="D66" t="s">
        <v>879</v>
      </c>
      <c r="E66" s="5"/>
      <c r="F66" s="5"/>
      <c r="G66" s="5"/>
      <c r="H66" s="5"/>
      <c r="I66" s="5">
        <v>69.02</v>
      </c>
      <c r="J66" s="5"/>
      <c r="K66" s="5"/>
      <c r="L66" t="s">
        <v>68</v>
      </c>
    </row>
    <row r="67" spans="1:15" hidden="1" x14ac:dyDescent="0.25">
      <c r="A67" s="2">
        <v>45503</v>
      </c>
      <c r="B67" t="s">
        <v>976</v>
      </c>
      <c r="C67" t="s">
        <v>1047</v>
      </c>
      <c r="D67" t="s">
        <v>879</v>
      </c>
      <c r="E67" s="5"/>
      <c r="F67" s="5"/>
      <c r="G67" s="5"/>
      <c r="H67" s="5"/>
      <c r="I67" s="5">
        <v>143.74</v>
      </c>
      <c r="J67" s="5"/>
      <c r="K67" s="5"/>
      <c r="L67" t="s">
        <v>68</v>
      </c>
    </row>
    <row r="68" spans="1:15" hidden="1" x14ac:dyDescent="0.25">
      <c r="A68" s="2">
        <v>45503</v>
      </c>
      <c r="B68" t="s">
        <v>976</v>
      </c>
      <c r="C68" t="s">
        <v>1048</v>
      </c>
      <c r="D68" t="s">
        <v>879</v>
      </c>
      <c r="E68" s="5"/>
      <c r="F68" s="5"/>
      <c r="G68" s="5"/>
      <c r="H68" s="5"/>
      <c r="I68" s="5">
        <v>190.04</v>
      </c>
      <c r="J68" s="5"/>
      <c r="K68" s="5"/>
      <c r="L68" t="s">
        <v>68</v>
      </c>
    </row>
    <row r="69" spans="1:15" hidden="1" x14ac:dyDescent="0.25">
      <c r="A69" s="2">
        <v>45517</v>
      </c>
      <c r="B69" t="s">
        <v>976</v>
      </c>
      <c r="C69" t="s">
        <v>1049</v>
      </c>
      <c r="D69" t="s">
        <v>879</v>
      </c>
      <c r="E69" s="5"/>
      <c r="F69" s="5"/>
      <c r="G69" s="5"/>
      <c r="H69" s="5"/>
      <c r="I69" s="5">
        <v>35.14</v>
      </c>
      <c r="J69" s="5"/>
      <c r="K69" s="5"/>
      <c r="L69" t="s">
        <v>68</v>
      </c>
    </row>
    <row r="70" spans="1:15" hidden="1" x14ac:dyDescent="0.25">
      <c r="A70" s="2">
        <v>45517</v>
      </c>
      <c r="B70" t="s">
        <v>976</v>
      </c>
      <c r="C70" t="s">
        <v>1050</v>
      </c>
      <c r="D70" t="s">
        <v>967</v>
      </c>
      <c r="E70" s="5"/>
      <c r="F70" s="5"/>
      <c r="G70" s="5"/>
      <c r="H70" s="5"/>
      <c r="I70" s="5">
        <v>761.99</v>
      </c>
      <c r="J70" s="5"/>
      <c r="K70" s="5"/>
      <c r="L70" t="s">
        <v>68</v>
      </c>
    </row>
    <row r="71" spans="1:15" hidden="1" x14ac:dyDescent="0.25">
      <c r="A71" s="2">
        <v>45517</v>
      </c>
      <c r="B71" t="s">
        <v>976</v>
      </c>
      <c r="C71" t="s">
        <v>1051</v>
      </c>
      <c r="D71" t="s">
        <v>879</v>
      </c>
      <c r="E71" s="5"/>
      <c r="F71" s="5"/>
      <c r="G71" s="5"/>
      <c r="H71" s="5"/>
      <c r="I71" s="5">
        <v>98.06</v>
      </c>
      <c r="J71" s="5"/>
      <c r="K71" s="5"/>
      <c r="L71" t="s">
        <v>68</v>
      </c>
    </row>
    <row r="72" spans="1:15" hidden="1" x14ac:dyDescent="0.25">
      <c r="A72" s="2">
        <v>45517</v>
      </c>
      <c r="B72" t="s">
        <v>976</v>
      </c>
      <c r="C72" t="s">
        <v>1052</v>
      </c>
      <c r="D72" t="s">
        <v>879</v>
      </c>
      <c r="E72" s="5"/>
      <c r="F72" s="5"/>
      <c r="G72" s="5"/>
      <c r="H72" s="5"/>
      <c r="I72" s="5">
        <v>70.7</v>
      </c>
      <c r="J72" s="5"/>
      <c r="K72" s="5"/>
      <c r="L72" t="s">
        <v>68</v>
      </c>
    </row>
    <row r="73" spans="1:15" hidden="1" x14ac:dyDescent="0.25">
      <c r="A73" s="2">
        <v>45526</v>
      </c>
      <c r="B73" t="s">
        <v>976</v>
      </c>
      <c r="C73" t="s">
        <v>1053</v>
      </c>
      <c r="D73" t="s">
        <v>879</v>
      </c>
      <c r="E73" s="5"/>
      <c r="F73" s="5"/>
      <c r="G73" s="5"/>
      <c r="H73" s="5"/>
      <c r="I73" s="5">
        <v>69.02</v>
      </c>
      <c r="J73" s="5"/>
      <c r="K73" s="5"/>
      <c r="L73" t="s">
        <v>68</v>
      </c>
    </row>
    <row r="74" spans="1:15" hidden="1" x14ac:dyDescent="0.25">
      <c r="A74" s="2">
        <v>45526</v>
      </c>
      <c r="B74" t="s">
        <v>976</v>
      </c>
      <c r="C74" t="s">
        <v>1054</v>
      </c>
      <c r="D74" t="s">
        <v>879</v>
      </c>
      <c r="E74" s="5"/>
      <c r="F74" s="5"/>
      <c r="G74" s="5"/>
      <c r="H74" s="5"/>
      <c r="I74" s="5">
        <v>82.12</v>
      </c>
      <c r="J74" s="5"/>
      <c r="K74" s="5"/>
      <c r="L74" t="s">
        <v>68</v>
      </c>
    </row>
    <row r="75" spans="1:15" hidden="1" x14ac:dyDescent="0.25">
      <c r="A75" s="2">
        <v>45533</v>
      </c>
      <c r="B75" t="s">
        <v>976</v>
      </c>
      <c r="C75" t="s">
        <v>1055</v>
      </c>
      <c r="D75" t="s">
        <v>879</v>
      </c>
      <c r="E75" s="5"/>
      <c r="F75" s="5"/>
      <c r="G75" s="5"/>
      <c r="H75" s="5"/>
      <c r="I75" s="5">
        <v>101.46</v>
      </c>
      <c r="J75" s="5"/>
      <c r="K75" s="5"/>
      <c r="L75" t="s">
        <v>68</v>
      </c>
    </row>
    <row r="76" spans="1:15" hidden="1" x14ac:dyDescent="0.25">
      <c r="A76" s="2">
        <v>45533</v>
      </c>
      <c r="B76" t="s">
        <v>976</v>
      </c>
      <c r="C76" t="s">
        <v>1056</v>
      </c>
      <c r="D76" t="s">
        <v>879</v>
      </c>
      <c r="E76" s="5"/>
      <c r="F76" s="5"/>
      <c r="G76" s="5"/>
      <c r="H76" s="5"/>
      <c r="I76" s="5">
        <v>54</v>
      </c>
      <c r="J76" s="5"/>
      <c r="K76" s="5"/>
      <c r="L76" t="s">
        <v>68</v>
      </c>
    </row>
    <row r="77" spans="1:15" hidden="1" x14ac:dyDescent="0.25">
      <c r="A77" s="2">
        <v>45555</v>
      </c>
      <c r="B77" t="s">
        <v>976</v>
      </c>
      <c r="C77" t="s">
        <v>1057</v>
      </c>
      <c r="D77" t="s">
        <v>879</v>
      </c>
      <c r="E77" s="5"/>
      <c r="F77" s="5"/>
      <c r="G77" s="5"/>
      <c r="H77" s="5"/>
      <c r="I77" s="5">
        <v>88.83</v>
      </c>
      <c r="J77" s="5"/>
      <c r="K77" s="5"/>
      <c r="L77" t="s">
        <v>68</v>
      </c>
    </row>
    <row r="78" spans="1:15" hidden="1" x14ac:dyDescent="0.25">
      <c r="A78" s="2">
        <v>45560</v>
      </c>
      <c r="B78" t="s">
        <v>976</v>
      </c>
      <c r="C78" t="s">
        <v>1058</v>
      </c>
      <c r="D78" t="s">
        <v>879</v>
      </c>
      <c r="E78" s="5"/>
      <c r="F78" s="5"/>
      <c r="G78" s="5"/>
      <c r="H78" s="5"/>
      <c r="I78" s="5">
        <v>154.88</v>
      </c>
      <c r="J78" s="5"/>
      <c r="K78" s="5"/>
      <c r="L78" t="s">
        <v>68</v>
      </c>
    </row>
    <row r="79" spans="1:15" hidden="1" x14ac:dyDescent="0.25">
      <c r="A79" s="2">
        <v>45625</v>
      </c>
      <c r="B79" t="s">
        <v>976</v>
      </c>
      <c r="C79" t="s">
        <v>1059</v>
      </c>
      <c r="D79" t="s">
        <v>879</v>
      </c>
      <c r="E79" s="5"/>
      <c r="F79" s="5"/>
      <c r="G79" s="5"/>
      <c r="H79" s="5"/>
      <c r="I79" s="5">
        <v>69.02</v>
      </c>
      <c r="J79" s="5"/>
      <c r="K79" s="5"/>
      <c r="L79" t="s">
        <v>68</v>
      </c>
      <c r="O79" s="16"/>
    </row>
    <row r="80" spans="1:15" hidden="1" x14ac:dyDescent="0.25">
      <c r="A80" s="2">
        <v>45624</v>
      </c>
      <c r="B80" t="s">
        <v>976</v>
      </c>
      <c r="C80" t="s">
        <v>1060</v>
      </c>
      <c r="D80" t="s">
        <v>879</v>
      </c>
      <c r="E80" s="5"/>
      <c r="F80" s="5"/>
      <c r="G80" s="5"/>
      <c r="H80" s="5"/>
      <c r="I80" s="5">
        <v>82.17</v>
      </c>
      <c r="J80" s="5"/>
      <c r="K80" s="5"/>
      <c r="L80" t="s">
        <v>68</v>
      </c>
      <c r="O80" s="17"/>
    </row>
    <row r="81" spans="1:15" hidden="1" x14ac:dyDescent="0.25">
      <c r="A81" s="2">
        <v>45638</v>
      </c>
      <c r="B81" t="s">
        <v>976</v>
      </c>
      <c r="C81" t="s">
        <v>1061</v>
      </c>
      <c r="D81" t="s">
        <v>879</v>
      </c>
      <c r="E81" s="5"/>
      <c r="F81" s="5"/>
      <c r="G81" s="5"/>
      <c r="H81" s="5"/>
      <c r="I81" s="5"/>
      <c r="J81" s="5"/>
      <c r="K81" s="5"/>
      <c r="L81" t="s">
        <v>68</v>
      </c>
      <c r="O81" s="16"/>
    </row>
    <row r="82" spans="1:15" ht="15.75" hidden="1" thickBot="1" x14ac:dyDescent="0.3">
      <c r="A82" s="2">
        <v>45321</v>
      </c>
      <c r="B82" t="s">
        <v>976</v>
      </c>
      <c r="C82" t="s">
        <v>1062</v>
      </c>
      <c r="D82" t="s">
        <v>879</v>
      </c>
      <c r="E82" s="5"/>
      <c r="F82" s="5"/>
      <c r="G82" s="5">
        <v>595.01</v>
      </c>
      <c r="H82" s="5"/>
      <c r="I82" s="5"/>
      <c r="J82" s="5"/>
      <c r="K82" s="5"/>
      <c r="L82" t="s">
        <v>790</v>
      </c>
      <c r="O82" s="14"/>
    </row>
    <row r="83" spans="1:15" ht="15.75" hidden="1" thickBot="1" x14ac:dyDescent="0.3">
      <c r="A83" s="2">
        <v>45351</v>
      </c>
      <c r="B83" t="s">
        <v>976</v>
      </c>
      <c r="C83" t="s">
        <v>1063</v>
      </c>
      <c r="D83" t="s">
        <v>879</v>
      </c>
      <c r="E83" s="5"/>
      <c r="F83" s="5"/>
      <c r="G83" s="5">
        <v>348.27</v>
      </c>
      <c r="H83" s="5"/>
      <c r="I83" s="5"/>
      <c r="J83" s="5"/>
      <c r="K83" s="5"/>
      <c r="L83" t="s">
        <v>790</v>
      </c>
      <c r="O83" s="15"/>
    </row>
    <row r="84" spans="1:15" ht="15.75" hidden="1" thickBot="1" x14ac:dyDescent="0.3">
      <c r="A84" s="2">
        <v>45378</v>
      </c>
      <c r="B84" t="s">
        <v>976</v>
      </c>
      <c r="C84" t="s">
        <v>1064</v>
      </c>
      <c r="D84" t="s">
        <v>879</v>
      </c>
      <c r="E84" s="5"/>
      <c r="F84" s="5"/>
      <c r="G84" s="5">
        <v>684.97</v>
      </c>
      <c r="H84" s="5"/>
      <c r="I84" s="5"/>
      <c r="J84" s="5"/>
      <c r="K84" s="5"/>
      <c r="L84" t="s">
        <v>790</v>
      </c>
      <c r="O84" s="14"/>
    </row>
    <row r="85" spans="1:15" ht="15.75" hidden="1" thickBot="1" x14ac:dyDescent="0.3">
      <c r="A85" s="2">
        <v>45440</v>
      </c>
      <c r="B85" t="s">
        <v>976</v>
      </c>
      <c r="C85" t="s">
        <v>1065</v>
      </c>
      <c r="D85" t="s">
        <v>879</v>
      </c>
      <c r="E85" s="5"/>
      <c r="F85" s="5"/>
      <c r="G85" s="5">
        <v>703.69</v>
      </c>
      <c r="H85" s="5"/>
      <c r="I85" s="5"/>
      <c r="J85" s="5"/>
      <c r="K85" s="5"/>
      <c r="L85" t="s">
        <v>790</v>
      </c>
      <c r="O85" s="15"/>
    </row>
    <row r="86" spans="1:15" ht="15.75" hidden="1" thickBot="1" x14ac:dyDescent="0.3">
      <c r="A86" s="2">
        <v>45471</v>
      </c>
      <c r="B86" t="s">
        <v>976</v>
      </c>
      <c r="C86" t="s">
        <v>1066</v>
      </c>
      <c r="D86" t="s">
        <v>1067</v>
      </c>
      <c r="E86" s="5"/>
      <c r="F86" s="5"/>
      <c r="G86" s="5">
        <v>204.1</v>
      </c>
      <c r="H86" s="5"/>
      <c r="I86" s="5"/>
      <c r="J86" s="5"/>
      <c r="K86" s="5"/>
      <c r="L86" t="s">
        <v>790</v>
      </c>
      <c r="O86" s="14"/>
    </row>
    <row r="87" spans="1:15" hidden="1" x14ac:dyDescent="0.25">
      <c r="A87" s="2">
        <v>45541</v>
      </c>
      <c r="B87" t="s">
        <v>976</v>
      </c>
      <c r="C87" t="s">
        <v>1068</v>
      </c>
      <c r="D87" t="s">
        <v>1067</v>
      </c>
      <c r="E87" s="5"/>
      <c r="F87" s="5"/>
      <c r="G87" s="5">
        <v>410.8</v>
      </c>
      <c r="H87" s="5"/>
      <c r="I87" s="5"/>
      <c r="J87" s="5"/>
      <c r="K87" s="5"/>
      <c r="L87" t="s">
        <v>790</v>
      </c>
    </row>
    <row r="88" spans="1:15" hidden="1" x14ac:dyDescent="0.25">
      <c r="A88" s="2">
        <v>45562</v>
      </c>
      <c r="B88" t="s">
        <v>976</v>
      </c>
      <c r="C88" t="s">
        <v>1069</v>
      </c>
      <c r="D88" t="s">
        <v>1067</v>
      </c>
      <c r="E88" s="5"/>
      <c r="F88" s="5"/>
      <c r="G88" s="5">
        <v>371.8</v>
      </c>
      <c r="H88" s="5"/>
      <c r="I88" s="5"/>
      <c r="J88" s="5"/>
      <c r="K88" s="5"/>
      <c r="L88" t="s">
        <v>790</v>
      </c>
    </row>
    <row r="89" spans="1:15" hidden="1" x14ac:dyDescent="0.25">
      <c r="A89" s="2">
        <v>45561</v>
      </c>
      <c r="B89" t="s">
        <v>976</v>
      </c>
      <c r="C89" t="s">
        <v>1070</v>
      </c>
      <c r="E89" s="5">
        <v>174.81</v>
      </c>
      <c r="F89" s="5"/>
      <c r="H89" s="5"/>
      <c r="I89" s="5"/>
      <c r="J89" s="5"/>
      <c r="K89" s="5"/>
      <c r="L89" t="s">
        <v>1071</v>
      </c>
    </row>
    <row r="90" spans="1:15" hidden="1" x14ac:dyDescent="0.25">
      <c r="A90" s="2">
        <v>45434</v>
      </c>
      <c r="B90" t="s">
        <v>976</v>
      </c>
      <c r="C90" t="s">
        <v>1072</v>
      </c>
      <c r="E90" s="5">
        <v>691.88</v>
      </c>
      <c r="F90" s="5"/>
      <c r="G90" s="5"/>
      <c r="H90" s="5"/>
      <c r="I90" s="5"/>
      <c r="J90" s="5"/>
      <c r="K90" s="5"/>
      <c r="L90" t="s">
        <v>1007</v>
      </c>
    </row>
    <row r="92" spans="1:15" x14ac:dyDescent="0.25">
      <c r="B92" s="8" t="s">
        <v>974</v>
      </c>
      <c r="C92" s="8"/>
      <c r="D92" s="8"/>
      <c r="E92" s="9">
        <f>SUM(E2:E91)</f>
        <v>3142.58</v>
      </c>
      <c r="F92" s="9">
        <f>SUM(F2:F91)</f>
        <v>4680.5299999999988</v>
      </c>
      <c r="G92" s="9">
        <f t="shared" ref="G92:J92" si="0">SUM(G2:G91)</f>
        <v>4022.3300000000004</v>
      </c>
      <c r="H92" s="9">
        <f t="shared" si="0"/>
        <v>3452.69</v>
      </c>
      <c r="I92" s="9">
        <f>SUM(I2:I91)</f>
        <v>5923.3800000000019</v>
      </c>
      <c r="J92" s="9">
        <f t="shared" si="0"/>
        <v>0</v>
      </c>
      <c r="K92" s="9"/>
      <c r="L92" s="8"/>
      <c r="M92" s="9">
        <f>SUM(E92:L92)</f>
        <v>21221.510000000002</v>
      </c>
    </row>
    <row r="93" spans="1:15" x14ac:dyDescent="0.25">
      <c r="B93" t="s">
        <v>975</v>
      </c>
      <c r="E93" s="11">
        <f>E92/M92</f>
        <v>0.14808465561592929</v>
      </c>
      <c r="F93" s="12">
        <f>F92/M92</f>
        <v>0.22055593593481324</v>
      </c>
      <c r="G93" s="11">
        <f>G92/M92</f>
        <v>0.18954023535554257</v>
      </c>
      <c r="H93" s="11">
        <f>H92/M92</f>
        <v>0.16269765912039247</v>
      </c>
      <c r="I93" s="11">
        <f>I92/M92</f>
        <v>0.27912151397332241</v>
      </c>
      <c r="J93" s="11">
        <f>J92/M92</f>
        <v>0</v>
      </c>
      <c r="K93" s="11"/>
      <c r="O93" s="16"/>
    </row>
    <row r="94" spans="1:15" x14ac:dyDescent="0.25">
      <c r="F94" s="5"/>
    </row>
    <row r="95" spans="1:15" x14ac:dyDescent="0.25">
      <c r="O95" s="16"/>
    </row>
    <row r="96" spans="1:15" x14ac:dyDescent="0.25">
      <c r="O96" s="17"/>
    </row>
    <row r="97" spans="15:15" x14ac:dyDescent="0.25">
      <c r="O97" s="16"/>
    </row>
    <row r="98" spans="15:15" x14ac:dyDescent="0.25">
      <c r="O98" s="17"/>
    </row>
    <row r="99" spans="15:15" x14ac:dyDescent="0.25">
      <c r="O99" s="16"/>
    </row>
    <row r="100" spans="15:15" x14ac:dyDescent="0.25">
      <c r="O100" s="17"/>
    </row>
    <row r="101" spans="15:15" x14ac:dyDescent="0.25">
      <c r="O101" s="16"/>
    </row>
    <row r="102" spans="15:15" x14ac:dyDescent="0.25">
      <c r="O102" s="17"/>
    </row>
    <row r="103" spans="15:15" x14ac:dyDescent="0.25">
      <c r="O103">
        <f>SUBTOTAL(9,O95:O102)</f>
        <v>0</v>
      </c>
    </row>
  </sheetData>
  <autoFilter ref="A1:M90" xr:uid="{F556F4FA-3B41-4A32-82DC-360515648861}">
    <filterColumn colId="11">
      <filters>
        <filter val="Marion Caris"/>
      </filters>
    </filterColumn>
  </autoFilter>
  <pageMargins left="0.7" right="0.7" top="0.78740157499999996" bottom="0.78740157499999996" header="0.3" footer="0.3"/>
  <headerFooter>
    <oddFooter>&amp;C_x000D_&amp;1#&amp;"Aptos"&amp;10&amp;K000000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58E9-3BD4-4B36-BB1D-216675257A67}">
  <dimension ref="A1:M223"/>
  <sheetViews>
    <sheetView zoomScale="110" zoomScaleNormal="110" workbookViewId="0">
      <pane ySplit="1" topLeftCell="A195" activePane="bottomLeft" state="frozen"/>
      <selection pane="bottomLeft" activeCell="I202" sqref="I202"/>
    </sheetView>
  </sheetViews>
  <sheetFormatPr baseColWidth="10" defaultColWidth="11.42578125" defaultRowHeight="15" x14ac:dyDescent="0.25"/>
  <cols>
    <col min="2" max="2" width="50.7109375" customWidth="1"/>
    <col min="3" max="4" width="31.5703125" customWidth="1"/>
    <col min="5" max="7" width="13.140625" customWidth="1"/>
    <col min="8" max="9" width="11.28515625" customWidth="1"/>
    <col min="10" max="11" width="10.5703125" customWidth="1"/>
    <col min="12" max="12" width="20.140625" customWidth="1"/>
  </cols>
  <sheetData>
    <row r="1" spans="1:13" x14ac:dyDescent="0.25">
      <c r="A1" t="s">
        <v>41</v>
      </c>
      <c r="B1" s="1" t="s">
        <v>411</v>
      </c>
      <c r="C1" s="1" t="s">
        <v>42</v>
      </c>
      <c r="D1" s="1" t="s">
        <v>43</v>
      </c>
      <c r="E1" s="7" t="s">
        <v>22</v>
      </c>
      <c r="F1" s="7" t="s">
        <v>26</v>
      </c>
      <c r="G1" s="7" t="s">
        <v>23</v>
      </c>
      <c r="H1" s="7" t="s">
        <v>27</v>
      </c>
      <c r="I1" s="7" t="s">
        <v>29</v>
      </c>
      <c r="J1" s="7" t="s">
        <v>30</v>
      </c>
      <c r="K1" s="7" t="s">
        <v>31</v>
      </c>
      <c r="L1" s="1" t="s">
        <v>44</v>
      </c>
      <c r="M1" s="1" t="s">
        <v>40</v>
      </c>
    </row>
    <row r="2" spans="1:13" x14ac:dyDescent="0.25">
      <c r="A2" s="2">
        <v>45323</v>
      </c>
      <c r="B2" t="s">
        <v>976</v>
      </c>
      <c r="C2" t="s">
        <v>977</v>
      </c>
      <c r="D2" t="s">
        <v>879</v>
      </c>
      <c r="E2" s="5"/>
      <c r="F2" s="5"/>
      <c r="G2" s="5"/>
      <c r="H2" s="5">
        <v>205.43</v>
      </c>
      <c r="I2" s="5"/>
      <c r="J2" s="5"/>
      <c r="K2" s="5"/>
      <c r="L2" t="s">
        <v>220</v>
      </c>
    </row>
    <row r="3" spans="1:13" x14ac:dyDescent="0.25">
      <c r="A3" s="2">
        <v>45355</v>
      </c>
      <c r="B3" t="s">
        <v>976</v>
      </c>
      <c r="C3" t="s">
        <v>978</v>
      </c>
      <c r="D3" t="s">
        <v>879</v>
      </c>
      <c r="E3" s="5"/>
      <c r="F3" s="5"/>
      <c r="G3" s="5"/>
      <c r="H3" s="5">
        <v>160.84</v>
      </c>
      <c r="I3" s="5"/>
      <c r="J3" s="5"/>
      <c r="K3" s="5"/>
      <c r="L3" t="s">
        <v>220</v>
      </c>
    </row>
    <row r="4" spans="1:13" x14ac:dyDescent="0.25">
      <c r="A4" s="2">
        <v>45384</v>
      </c>
      <c r="B4" t="s">
        <v>976</v>
      </c>
      <c r="C4" t="s">
        <v>979</v>
      </c>
      <c r="D4" t="s">
        <v>879</v>
      </c>
      <c r="E4" s="5"/>
      <c r="F4" s="5"/>
      <c r="G4" s="5"/>
      <c r="H4" s="5">
        <v>772.74</v>
      </c>
      <c r="I4" s="5"/>
      <c r="J4" s="5"/>
      <c r="K4" s="5"/>
      <c r="L4" t="s">
        <v>220</v>
      </c>
    </row>
    <row r="5" spans="1:13" x14ac:dyDescent="0.25">
      <c r="A5" s="2">
        <v>45388</v>
      </c>
      <c r="B5" t="s">
        <v>848</v>
      </c>
      <c r="C5" t="s">
        <v>849</v>
      </c>
      <c r="D5" t="s">
        <v>850</v>
      </c>
      <c r="E5" s="5"/>
      <c r="F5" s="5"/>
      <c r="G5" s="5"/>
      <c r="H5" s="5">
        <v>489.28</v>
      </c>
      <c r="I5" s="5"/>
      <c r="J5" s="5"/>
      <c r="K5" s="5"/>
      <c r="L5" t="s">
        <v>220</v>
      </c>
    </row>
    <row r="6" spans="1:13" x14ac:dyDescent="0.25">
      <c r="A6" s="2">
        <v>45408</v>
      </c>
      <c r="B6" t="s">
        <v>976</v>
      </c>
      <c r="C6" t="s">
        <v>980</v>
      </c>
      <c r="D6" t="s">
        <v>879</v>
      </c>
      <c r="E6" s="5"/>
      <c r="F6" s="5"/>
      <c r="G6" s="5"/>
      <c r="H6" s="5">
        <v>367.63</v>
      </c>
      <c r="I6" s="5"/>
      <c r="J6" s="5"/>
      <c r="K6" s="5"/>
      <c r="L6" t="s">
        <v>220</v>
      </c>
    </row>
    <row r="7" spans="1:13" x14ac:dyDescent="0.25">
      <c r="A7" s="2">
        <v>45442</v>
      </c>
      <c r="B7" t="s">
        <v>976</v>
      </c>
      <c r="C7" t="s">
        <v>981</v>
      </c>
      <c r="D7" t="s">
        <v>879</v>
      </c>
      <c r="E7" s="5"/>
      <c r="F7" s="5"/>
      <c r="G7" s="5"/>
      <c r="H7" s="5">
        <v>415.73</v>
      </c>
      <c r="I7" s="5"/>
      <c r="J7" s="5"/>
      <c r="K7" s="5"/>
      <c r="L7" t="s">
        <v>220</v>
      </c>
    </row>
    <row r="8" spans="1:13" x14ac:dyDescent="0.25">
      <c r="A8" s="2">
        <v>45474</v>
      </c>
      <c r="B8" t="s">
        <v>976</v>
      </c>
      <c r="C8" t="s">
        <v>982</v>
      </c>
      <c r="D8" t="s">
        <v>879</v>
      </c>
      <c r="E8" s="5"/>
      <c r="F8" s="5"/>
      <c r="G8" s="5"/>
      <c r="H8" s="5">
        <v>193.78</v>
      </c>
      <c r="I8" s="5"/>
      <c r="J8" s="5"/>
      <c r="K8" s="5"/>
      <c r="L8" t="s">
        <v>220</v>
      </c>
    </row>
    <row r="9" spans="1:13" x14ac:dyDescent="0.25">
      <c r="A9" s="2">
        <v>45504</v>
      </c>
      <c r="B9" t="s">
        <v>848</v>
      </c>
      <c r="C9" t="s">
        <v>851</v>
      </c>
      <c r="D9" t="s">
        <v>850</v>
      </c>
      <c r="E9" s="5"/>
      <c r="F9" s="5"/>
      <c r="G9" s="5"/>
      <c r="H9" s="5">
        <v>2173.25</v>
      </c>
      <c r="I9" s="5"/>
      <c r="J9" s="5"/>
      <c r="K9" s="5"/>
      <c r="L9" t="s">
        <v>220</v>
      </c>
      <c r="M9" s="4"/>
    </row>
    <row r="10" spans="1:13" x14ac:dyDescent="0.25">
      <c r="A10" s="2">
        <v>45535</v>
      </c>
      <c r="B10" t="s">
        <v>848</v>
      </c>
      <c r="C10" t="s">
        <v>852</v>
      </c>
      <c r="D10" t="s">
        <v>853</v>
      </c>
      <c r="E10" s="5"/>
      <c r="F10" s="5"/>
      <c r="G10" s="5"/>
      <c r="H10" s="5">
        <v>28.46</v>
      </c>
      <c r="I10" s="5"/>
      <c r="J10" s="5"/>
      <c r="K10" s="5"/>
      <c r="L10" t="s">
        <v>220</v>
      </c>
    </row>
    <row r="11" spans="1:13" x14ac:dyDescent="0.25">
      <c r="A11" s="2">
        <v>45535</v>
      </c>
      <c r="B11" t="s">
        <v>976</v>
      </c>
      <c r="C11" t="s">
        <v>983</v>
      </c>
      <c r="D11" t="s">
        <v>879</v>
      </c>
      <c r="E11" s="5"/>
      <c r="F11" s="5"/>
      <c r="G11" s="5"/>
      <c r="H11" s="5">
        <v>323.87</v>
      </c>
      <c r="I11" s="5"/>
      <c r="J11" s="5"/>
      <c r="K11" s="5"/>
      <c r="L11" t="s">
        <v>220</v>
      </c>
    </row>
    <row r="12" spans="1:13" x14ac:dyDescent="0.25">
      <c r="A12" s="2">
        <v>45566</v>
      </c>
      <c r="B12" t="s">
        <v>976</v>
      </c>
      <c r="C12" t="s">
        <v>984</v>
      </c>
      <c r="D12" t="s">
        <v>985</v>
      </c>
      <c r="E12" s="5"/>
      <c r="F12" s="5"/>
      <c r="G12" s="5"/>
      <c r="H12" s="5">
        <v>96.21</v>
      </c>
      <c r="I12" s="5"/>
      <c r="J12" s="5"/>
      <c r="K12" s="5"/>
      <c r="L12" t="s">
        <v>220</v>
      </c>
    </row>
    <row r="13" spans="1:13" x14ac:dyDescent="0.25">
      <c r="A13" s="2">
        <v>45566</v>
      </c>
      <c r="B13" t="s">
        <v>976</v>
      </c>
      <c r="C13" t="s">
        <v>986</v>
      </c>
      <c r="D13" t="s">
        <v>879</v>
      </c>
      <c r="E13" s="5"/>
      <c r="F13" s="5"/>
      <c r="G13" s="5"/>
      <c r="H13" s="5">
        <v>200.73</v>
      </c>
      <c r="I13" s="5"/>
      <c r="J13" s="5"/>
      <c r="K13" s="5"/>
      <c r="L13" t="s">
        <v>220</v>
      </c>
    </row>
    <row r="14" spans="1:13" x14ac:dyDescent="0.25">
      <c r="A14" s="2">
        <v>45595</v>
      </c>
      <c r="B14" t="s">
        <v>848</v>
      </c>
      <c r="C14" t="s">
        <v>854</v>
      </c>
      <c r="D14" t="s">
        <v>855</v>
      </c>
      <c r="E14" s="5"/>
      <c r="F14" s="5"/>
      <c r="G14" s="5"/>
      <c r="H14" s="5">
        <v>96.09</v>
      </c>
      <c r="I14" s="5"/>
      <c r="J14" s="5"/>
      <c r="K14" s="5"/>
      <c r="L14" t="s">
        <v>220</v>
      </c>
    </row>
    <row r="15" spans="1:13" x14ac:dyDescent="0.25">
      <c r="A15" s="2">
        <v>45595</v>
      </c>
      <c r="B15" t="s">
        <v>976</v>
      </c>
      <c r="C15" t="s">
        <v>987</v>
      </c>
      <c r="D15" t="s">
        <v>879</v>
      </c>
      <c r="E15" s="5"/>
      <c r="F15" s="5"/>
      <c r="G15" s="5"/>
      <c r="H15" s="5">
        <v>349.44</v>
      </c>
      <c r="I15" s="5"/>
      <c r="J15" s="5"/>
      <c r="K15" s="5"/>
      <c r="L15" t="s">
        <v>220</v>
      </c>
    </row>
    <row r="16" spans="1:13" x14ac:dyDescent="0.25">
      <c r="A16" s="2">
        <v>45623</v>
      </c>
      <c r="B16" t="s">
        <v>976</v>
      </c>
      <c r="C16" t="s">
        <v>988</v>
      </c>
      <c r="D16" t="s">
        <v>879</v>
      </c>
      <c r="E16" s="5"/>
      <c r="F16" s="5"/>
      <c r="G16" s="5"/>
      <c r="H16" s="5">
        <v>366.29</v>
      </c>
      <c r="I16" s="5"/>
      <c r="J16" s="5"/>
      <c r="K16" s="5"/>
      <c r="L16" t="s">
        <v>220</v>
      </c>
    </row>
    <row r="17" spans="1:12" x14ac:dyDescent="0.25">
      <c r="A17" s="2">
        <v>45446</v>
      </c>
      <c r="B17" t="s">
        <v>976</v>
      </c>
      <c r="C17" s="3" t="s">
        <v>989</v>
      </c>
      <c r="D17" t="s">
        <v>879</v>
      </c>
      <c r="E17" s="5">
        <v>673.66</v>
      </c>
      <c r="F17" s="5"/>
      <c r="G17" s="5"/>
      <c r="H17" s="5"/>
      <c r="I17" s="5"/>
      <c r="J17" s="5"/>
      <c r="K17" s="5"/>
      <c r="L17" t="s">
        <v>990</v>
      </c>
    </row>
    <row r="18" spans="1:12" x14ac:dyDescent="0.25">
      <c r="A18" s="2">
        <v>45572</v>
      </c>
      <c r="B18" t="s">
        <v>976</v>
      </c>
      <c r="C18" s="3" t="s">
        <v>991</v>
      </c>
      <c r="E18" s="5">
        <v>910.35</v>
      </c>
      <c r="F18" s="5"/>
      <c r="G18" s="5"/>
      <c r="H18" s="5"/>
      <c r="I18" s="5"/>
      <c r="J18" s="5"/>
      <c r="K18" s="5"/>
      <c r="L18" t="s">
        <v>990</v>
      </c>
    </row>
    <row r="19" spans="1:12" x14ac:dyDescent="0.25">
      <c r="A19" s="2">
        <v>45300</v>
      </c>
      <c r="B19" t="s">
        <v>976</v>
      </c>
      <c r="C19" t="s">
        <v>992</v>
      </c>
      <c r="D19" t="s">
        <v>879</v>
      </c>
      <c r="E19" s="5"/>
      <c r="F19" s="5">
        <v>170.51</v>
      </c>
      <c r="G19" s="5"/>
      <c r="H19" s="5"/>
      <c r="I19" s="5"/>
      <c r="J19" s="5"/>
      <c r="K19" s="5"/>
      <c r="L19" t="s">
        <v>47</v>
      </c>
    </row>
    <row r="20" spans="1:12" x14ac:dyDescent="0.25">
      <c r="A20" s="2">
        <v>45300</v>
      </c>
      <c r="B20" t="s">
        <v>848</v>
      </c>
      <c r="C20" t="s">
        <v>856</v>
      </c>
      <c r="D20" t="s">
        <v>850</v>
      </c>
      <c r="E20" s="5"/>
      <c r="F20" s="5">
        <v>182.17</v>
      </c>
      <c r="G20" s="5"/>
      <c r="H20" s="5"/>
      <c r="I20" s="5"/>
      <c r="J20" s="5"/>
      <c r="K20" s="5"/>
      <c r="L20" t="s">
        <v>47</v>
      </c>
    </row>
    <row r="21" spans="1:12" x14ac:dyDescent="0.25">
      <c r="A21" s="2">
        <v>45300</v>
      </c>
      <c r="B21" t="s">
        <v>848</v>
      </c>
      <c r="C21" t="s">
        <v>857</v>
      </c>
      <c r="D21" t="s">
        <v>855</v>
      </c>
      <c r="E21" s="5"/>
      <c r="F21" s="5">
        <v>146.86000000000001</v>
      </c>
      <c r="G21" s="5"/>
      <c r="H21" s="5"/>
      <c r="I21" s="5"/>
      <c r="J21" s="5"/>
      <c r="K21" s="5"/>
      <c r="L21" t="s">
        <v>47</v>
      </c>
    </row>
    <row r="22" spans="1:12" x14ac:dyDescent="0.25">
      <c r="A22" s="2">
        <v>45335</v>
      </c>
      <c r="B22" t="s">
        <v>976</v>
      </c>
      <c r="C22" t="s">
        <v>993</v>
      </c>
      <c r="D22" t="s">
        <v>879</v>
      </c>
      <c r="E22" s="5"/>
      <c r="F22" s="5">
        <v>306.23</v>
      </c>
      <c r="G22" s="5"/>
      <c r="H22" s="5"/>
      <c r="I22" s="5"/>
      <c r="J22" s="5"/>
      <c r="K22" s="5"/>
      <c r="L22" t="s">
        <v>47</v>
      </c>
    </row>
    <row r="23" spans="1:12" x14ac:dyDescent="0.25">
      <c r="A23" s="2">
        <v>45335</v>
      </c>
      <c r="B23" t="s">
        <v>848</v>
      </c>
      <c r="C23" t="s">
        <v>858</v>
      </c>
      <c r="D23" t="s">
        <v>850</v>
      </c>
      <c r="E23" s="5"/>
      <c r="F23" s="5">
        <v>287.57</v>
      </c>
      <c r="G23" s="5"/>
      <c r="H23" s="5"/>
      <c r="I23" s="5"/>
      <c r="J23" s="5"/>
      <c r="K23" s="5"/>
      <c r="L23" t="s">
        <v>47</v>
      </c>
    </row>
    <row r="24" spans="1:12" x14ac:dyDescent="0.25">
      <c r="A24" s="2">
        <v>45335</v>
      </c>
      <c r="B24" t="s">
        <v>848</v>
      </c>
      <c r="C24" t="s">
        <v>859</v>
      </c>
      <c r="D24" t="s">
        <v>850</v>
      </c>
      <c r="E24" s="5"/>
      <c r="F24" s="5">
        <v>42.88</v>
      </c>
      <c r="G24" s="5"/>
      <c r="H24" s="5"/>
      <c r="I24" s="5"/>
      <c r="J24" s="5"/>
      <c r="K24" s="5"/>
      <c r="L24" t="s">
        <v>47</v>
      </c>
    </row>
    <row r="25" spans="1:12" x14ac:dyDescent="0.25">
      <c r="A25" s="2">
        <v>45362</v>
      </c>
      <c r="B25" t="s">
        <v>848</v>
      </c>
      <c r="C25" t="s">
        <v>860</v>
      </c>
      <c r="D25" t="s">
        <v>861</v>
      </c>
      <c r="E25" s="5"/>
      <c r="F25" s="5">
        <v>179.89</v>
      </c>
      <c r="G25" s="5"/>
      <c r="H25" s="5"/>
      <c r="I25" s="5"/>
      <c r="J25" s="5"/>
      <c r="K25" s="5"/>
      <c r="L25" t="s">
        <v>47</v>
      </c>
    </row>
    <row r="26" spans="1:12" x14ac:dyDescent="0.25">
      <c r="A26" s="2">
        <v>45362</v>
      </c>
      <c r="B26" t="s">
        <v>976</v>
      </c>
      <c r="C26" t="s">
        <v>994</v>
      </c>
      <c r="D26" t="s">
        <v>879</v>
      </c>
      <c r="E26" s="5"/>
      <c r="F26" s="5">
        <v>612.67999999999995</v>
      </c>
      <c r="G26" s="5"/>
      <c r="H26" s="5"/>
      <c r="I26" s="5"/>
      <c r="J26" s="5"/>
      <c r="K26" s="5"/>
      <c r="L26" t="s">
        <v>47</v>
      </c>
    </row>
    <row r="27" spans="1:12" x14ac:dyDescent="0.25">
      <c r="A27" s="2">
        <v>45384</v>
      </c>
      <c r="B27" t="s">
        <v>848</v>
      </c>
      <c r="C27" t="s">
        <v>862</v>
      </c>
      <c r="D27" t="s">
        <v>850</v>
      </c>
      <c r="E27" s="5"/>
      <c r="F27" s="5">
        <v>817.42</v>
      </c>
      <c r="G27" s="5"/>
      <c r="H27" s="5"/>
      <c r="I27" s="5"/>
      <c r="J27" s="5"/>
      <c r="K27" s="5"/>
      <c r="L27" t="s">
        <v>47</v>
      </c>
    </row>
    <row r="28" spans="1:12" x14ac:dyDescent="0.25">
      <c r="A28" s="2">
        <v>45384</v>
      </c>
      <c r="B28" t="s">
        <v>976</v>
      </c>
      <c r="C28" t="s">
        <v>995</v>
      </c>
      <c r="D28" t="s">
        <v>879</v>
      </c>
      <c r="E28" s="5"/>
      <c r="F28" s="5">
        <v>400.91</v>
      </c>
      <c r="G28" s="5"/>
      <c r="H28" s="5"/>
      <c r="I28" s="5"/>
      <c r="J28" s="5"/>
      <c r="K28" s="5"/>
      <c r="L28" t="s">
        <v>47</v>
      </c>
    </row>
    <row r="29" spans="1:12" x14ac:dyDescent="0.25">
      <c r="A29" s="2">
        <v>45454</v>
      </c>
      <c r="B29" t="s">
        <v>976</v>
      </c>
      <c r="C29" t="s">
        <v>996</v>
      </c>
      <c r="D29" t="s">
        <v>879</v>
      </c>
      <c r="E29" s="5"/>
      <c r="F29" s="5">
        <v>293.02</v>
      </c>
      <c r="G29" s="5"/>
      <c r="H29" s="5"/>
      <c r="I29" s="5"/>
      <c r="J29" s="5"/>
      <c r="K29" s="5"/>
      <c r="L29" t="s">
        <v>47</v>
      </c>
    </row>
    <row r="30" spans="1:12" x14ac:dyDescent="0.25">
      <c r="A30" s="2">
        <v>45454</v>
      </c>
      <c r="B30" t="s">
        <v>848</v>
      </c>
      <c r="C30" t="s">
        <v>863</v>
      </c>
      <c r="D30" t="s">
        <v>850</v>
      </c>
      <c r="E30" s="5"/>
      <c r="F30" s="5">
        <v>209.03</v>
      </c>
      <c r="G30" s="5"/>
      <c r="H30" s="5"/>
      <c r="I30" s="5"/>
      <c r="J30" s="5"/>
      <c r="K30" s="5"/>
      <c r="L30" t="s">
        <v>47</v>
      </c>
    </row>
    <row r="31" spans="1:12" x14ac:dyDescent="0.25">
      <c r="A31" s="2">
        <v>45454</v>
      </c>
      <c r="B31" t="s">
        <v>848</v>
      </c>
      <c r="C31" t="s">
        <v>864</v>
      </c>
      <c r="D31" t="s">
        <v>850</v>
      </c>
      <c r="E31" s="5"/>
      <c r="F31" s="5">
        <v>33.49</v>
      </c>
      <c r="G31" s="5"/>
      <c r="H31" s="5"/>
      <c r="I31" s="5"/>
      <c r="J31" s="5"/>
      <c r="K31" s="5"/>
      <c r="L31" t="s">
        <v>47</v>
      </c>
    </row>
    <row r="32" spans="1:12" x14ac:dyDescent="0.25">
      <c r="A32" s="2">
        <v>45478</v>
      </c>
      <c r="B32" t="s">
        <v>976</v>
      </c>
      <c r="C32" t="s">
        <v>997</v>
      </c>
      <c r="D32" t="s">
        <v>879</v>
      </c>
      <c r="E32" s="5"/>
      <c r="F32" s="5">
        <v>201.3</v>
      </c>
      <c r="G32" s="5"/>
      <c r="H32" s="5"/>
      <c r="I32" s="5"/>
      <c r="J32" s="5"/>
      <c r="K32" s="5"/>
      <c r="L32" t="s">
        <v>47</v>
      </c>
    </row>
    <row r="33" spans="1:12" x14ac:dyDescent="0.25">
      <c r="A33" s="2">
        <v>45478</v>
      </c>
      <c r="B33" t="s">
        <v>848</v>
      </c>
      <c r="C33" t="s">
        <v>865</v>
      </c>
      <c r="D33" t="s">
        <v>850</v>
      </c>
      <c r="E33" s="5"/>
      <c r="F33" s="5">
        <v>23.4</v>
      </c>
      <c r="G33" s="5"/>
      <c r="H33" s="5"/>
      <c r="I33" s="5"/>
      <c r="J33" s="5"/>
      <c r="K33" s="5"/>
      <c r="L33" t="s">
        <v>47</v>
      </c>
    </row>
    <row r="34" spans="1:12" x14ac:dyDescent="0.25">
      <c r="A34" s="2">
        <v>45478</v>
      </c>
      <c r="B34" t="s">
        <v>848</v>
      </c>
      <c r="C34" t="s">
        <v>866</v>
      </c>
      <c r="D34" t="s">
        <v>850</v>
      </c>
      <c r="E34" s="5"/>
      <c r="F34" s="5">
        <v>153.35</v>
      </c>
      <c r="G34" s="5"/>
      <c r="H34" s="5"/>
      <c r="I34" s="5"/>
      <c r="J34" s="5"/>
      <c r="K34" s="5"/>
      <c r="L34" t="s">
        <v>47</v>
      </c>
    </row>
    <row r="35" spans="1:12" x14ac:dyDescent="0.25">
      <c r="A35" s="2">
        <v>45509</v>
      </c>
      <c r="B35" t="s">
        <v>976</v>
      </c>
      <c r="C35" t="s">
        <v>998</v>
      </c>
      <c r="D35" t="s">
        <v>879</v>
      </c>
      <c r="E35" s="5"/>
      <c r="F35" s="5">
        <v>1176.6199999999999</v>
      </c>
      <c r="G35" s="5"/>
      <c r="H35" s="5"/>
      <c r="I35" s="5"/>
      <c r="J35" s="5"/>
      <c r="K35" s="5"/>
      <c r="L35" t="s">
        <v>47</v>
      </c>
    </row>
    <row r="36" spans="1:12" x14ac:dyDescent="0.25">
      <c r="A36" s="2">
        <v>45510</v>
      </c>
      <c r="B36" t="s">
        <v>848</v>
      </c>
      <c r="C36" t="s">
        <v>867</v>
      </c>
      <c r="D36" t="s">
        <v>850</v>
      </c>
      <c r="E36" s="5"/>
      <c r="F36" s="5">
        <v>71.13</v>
      </c>
      <c r="G36" s="5"/>
      <c r="H36" s="5"/>
      <c r="I36" s="5"/>
      <c r="J36" s="5"/>
      <c r="K36" s="5"/>
      <c r="L36" t="s">
        <v>47</v>
      </c>
    </row>
    <row r="37" spans="1:12" x14ac:dyDescent="0.25">
      <c r="A37" s="2">
        <v>45512</v>
      </c>
      <c r="B37" t="s">
        <v>848</v>
      </c>
      <c r="C37" t="s">
        <v>868</v>
      </c>
      <c r="D37" t="s">
        <v>861</v>
      </c>
      <c r="E37" s="5"/>
      <c r="F37" s="5">
        <v>515.07000000000005</v>
      </c>
      <c r="G37" s="5"/>
      <c r="H37" s="5"/>
      <c r="I37" s="5"/>
      <c r="J37" s="5"/>
      <c r="K37" s="5"/>
      <c r="L37" t="s">
        <v>47</v>
      </c>
    </row>
    <row r="38" spans="1:12" x14ac:dyDescent="0.25">
      <c r="A38" s="2">
        <v>45545</v>
      </c>
      <c r="B38" t="s">
        <v>848</v>
      </c>
      <c r="C38" t="s">
        <v>869</v>
      </c>
      <c r="D38" t="s">
        <v>870</v>
      </c>
      <c r="E38" s="5"/>
      <c r="F38" s="5">
        <v>121.28</v>
      </c>
      <c r="G38" s="5"/>
      <c r="H38" s="5"/>
      <c r="I38" s="5"/>
      <c r="J38" s="5"/>
      <c r="K38" s="5"/>
      <c r="L38" t="s">
        <v>47</v>
      </c>
    </row>
    <row r="39" spans="1:12" x14ac:dyDescent="0.25">
      <c r="A39" s="2">
        <v>45545</v>
      </c>
      <c r="B39" t="s">
        <v>976</v>
      </c>
      <c r="C39" t="s">
        <v>999</v>
      </c>
      <c r="D39" t="s">
        <v>879</v>
      </c>
      <c r="E39" s="5"/>
      <c r="F39" s="5">
        <v>754.72</v>
      </c>
      <c r="G39" s="5"/>
      <c r="H39" s="5"/>
      <c r="I39" s="5"/>
      <c r="J39" s="5"/>
      <c r="K39" s="5"/>
      <c r="L39" t="s">
        <v>47</v>
      </c>
    </row>
    <row r="40" spans="1:12" x14ac:dyDescent="0.25">
      <c r="A40" s="2">
        <v>45572</v>
      </c>
      <c r="B40" t="s">
        <v>976</v>
      </c>
      <c r="C40" t="s">
        <v>1000</v>
      </c>
      <c r="D40" t="s">
        <v>1001</v>
      </c>
      <c r="E40" s="5"/>
      <c r="F40" s="5">
        <v>35.479999999999997</v>
      </c>
      <c r="G40" s="5"/>
      <c r="H40" s="5"/>
      <c r="I40" s="5"/>
      <c r="J40" s="5"/>
      <c r="K40" s="5"/>
      <c r="L40" t="s">
        <v>47</v>
      </c>
    </row>
    <row r="41" spans="1:12" x14ac:dyDescent="0.25">
      <c r="A41" s="2">
        <v>45572</v>
      </c>
      <c r="B41" t="s">
        <v>976</v>
      </c>
      <c r="C41" t="s">
        <v>1002</v>
      </c>
      <c r="D41" t="s">
        <v>879</v>
      </c>
      <c r="E41" s="5"/>
      <c r="F41" s="5">
        <v>199.09</v>
      </c>
      <c r="G41" s="5"/>
      <c r="H41" s="5"/>
      <c r="I41" s="5"/>
      <c r="J41" s="5"/>
      <c r="K41" s="5"/>
      <c r="L41" t="s">
        <v>47</v>
      </c>
    </row>
    <row r="42" spans="1:12" x14ac:dyDescent="0.25">
      <c r="A42" s="2">
        <v>45572</v>
      </c>
      <c r="B42" t="s">
        <v>848</v>
      </c>
      <c r="C42" t="s">
        <v>871</v>
      </c>
      <c r="D42" t="s">
        <v>850</v>
      </c>
      <c r="E42" s="5"/>
      <c r="F42" s="5">
        <v>460.74</v>
      </c>
      <c r="G42" s="5"/>
      <c r="H42" s="5"/>
      <c r="I42" s="5"/>
      <c r="J42" s="5"/>
      <c r="K42" s="5"/>
      <c r="L42" t="s">
        <v>47</v>
      </c>
    </row>
    <row r="43" spans="1:12" x14ac:dyDescent="0.25">
      <c r="A43" s="2">
        <v>45607</v>
      </c>
      <c r="B43" t="s">
        <v>976</v>
      </c>
      <c r="C43" t="s">
        <v>1003</v>
      </c>
      <c r="D43" t="s">
        <v>879</v>
      </c>
      <c r="E43" s="5"/>
      <c r="F43" s="5">
        <v>333.03</v>
      </c>
      <c r="G43" s="5"/>
      <c r="H43" s="5"/>
      <c r="I43" s="5"/>
      <c r="J43" s="5"/>
      <c r="K43" s="5"/>
      <c r="L43" t="s">
        <v>47</v>
      </c>
    </row>
    <row r="44" spans="1:12" x14ac:dyDescent="0.25">
      <c r="A44" s="2">
        <v>45607</v>
      </c>
      <c r="B44" t="s">
        <v>848</v>
      </c>
      <c r="C44" t="s">
        <v>872</v>
      </c>
      <c r="D44" t="s">
        <v>828</v>
      </c>
      <c r="E44" s="5"/>
      <c r="F44" s="5">
        <v>141.84</v>
      </c>
      <c r="G44" s="5"/>
      <c r="H44" s="5"/>
      <c r="I44" s="5"/>
      <c r="J44" s="5"/>
      <c r="K44" s="5"/>
      <c r="L44" t="s">
        <v>47</v>
      </c>
    </row>
    <row r="45" spans="1:12" x14ac:dyDescent="0.25">
      <c r="A45" s="2">
        <v>45607</v>
      </c>
      <c r="B45" t="s">
        <v>848</v>
      </c>
      <c r="C45" t="s">
        <v>873</v>
      </c>
      <c r="D45" t="s">
        <v>828</v>
      </c>
      <c r="E45" s="5"/>
      <c r="F45" s="5">
        <v>366.56</v>
      </c>
      <c r="G45" s="5"/>
      <c r="H45" s="5"/>
      <c r="I45" s="5"/>
      <c r="J45" s="5"/>
      <c r="K45" s="5"/>
      <c r="L45" t="s">
        <v>47</v>
      </c>
    </row>
    <row r="46" spans="1:12" x14ac:dyDescent="0.25">
      <c r="A46" s="2">
        <v>45607</v>
      </c>
      <c r="B46" t="s">
        <v>848</v>
      </c>
      <c r="C46" t="s">
        <v>874</v>
      </c>
      <c r="D46" t="s">
        <v>875</v>
      </c>
      <c r="E46" s="5"/>
      <c r="F46" s="5">
        <v>1223.79</v>
      </c>
      <c r="G46" s="5"/>
      <c r="H46" s="5"/>
      <c r="I46" s="5"/>
      <c r="J46" s="5"/>
      <c r="K46" s="5"/>
      <c r="L46" t="s">
        <v>47</v>
      </c>
    </row>
    <row r="47" spans="1:12" x14ac:dyDescent="0.25">
      <c r="A47" s="2">
        <v>45629</v>
      </c>
      <c r="B47" t="s">
        <v>848</v>
      </c>
      <c r="C47" t="s">
        <v>876</v>
      </c>
      <c r="D47" t="s">
        <v>850</v>
      </c>
      <c r="E47" s="5"/>
      <c r="F47" s="5">
        <v>151.72</v>
      </c>
      <c r="G47" s="5"/>
      <c r="H47" s="5"/>
      <c r="I47" s="5"/>
      <c r="J47" s="5"/>
      <c r="K47" s="5"/>
      <c r="L47" t="s">
        <v>47</v>
      </c>
    </row>
    <row r="48" spans="1:12" x14ac:dyDescent="0.25">
      <c r="A48" s="2">
        <v>45629</v>
      </c>
      <c r="B48" t="s">
        <v>976</v>
      </c>
      <c r="C48" t="s">
        <v>1004</v>
      </c>
      <c r="D48" t="s">
        <v>879</v>
      </c>
      <c r="E48" s="5"/>
      <c r="F48" s="5">
        <v>196.94</v>
      </c>
      <c r="G48" s="5"/>
      <c r="H48" s="5"/>
      <c r="I48" s="5"/>
      <c r="J48" s="5"/>
      <c r="K48" s="5"/>
      <c r="L48" t="s">
        <v>47</v>
      </c>
    </row>
    <row r="49" spans="1:12" x14ac:dyDescent="0.25">
      <c r="A49" s="2">
        <v>45629</v>
      </c>
      <c r="B49" t="s">
        <v>848</v>
      </c>
      <c r="C49" t="s">
        <v>877</v>
      </c>
      <c r="D49" t="s">
        <v>850</v>
      </c>
      <c r="E49" s="5"/>
      <c r="F49" s="5">
        <v>78.150000000000006</v>
      </c>
      <c r="G49" s="5"/>
      <c r="H49" s="5"/>
      <c r="I49" s="5"/>
      <c r="J49" s="5"/>
      <c r="K49" s="5"/>
      <c r="L49" t="s">
        <v>47</v>
      </c>
    </row>
    <row r="50" spans="1:12" x14ac:dyDescent="0.25">
      <c r="A50" s="2">
        <v>45434</v>
      </c>
      <c r="B50" t="s">
        <v>976</v>
      </c>
      <c r="C50" t="s">
        <v>1005</v>
      </c>
      <c r="D50" t="s">
        <v>1006</v>
      </c>
      <c r="E50" s="5">
        <v>691.88</v>
      </c>
      <c r="F50" s="5"/>
      <c r="G50" s="5"/>
      <c r="H50" s="5"/>
      <c r="I50" s="5"/>
      <c r="J50" s="5"/>
      <c r="K50" s="5"/>
      <c r="L50" t="s">
        <v>1007</v>
      </c>
    </row>
    <row r="51" spans="1:12" x14ac:dyDescent="0.25">
      <c r="A51" s="2">
        <v>45440</v>
      </c>
      <c r="B51" t="s">
        <v>976</v>
      </c>
      <c r="C51" t="s">
        <v>1008</v>
      </c>
      <c r="D51" t="s">
        <v>879</v>
      </c>
      <c r="E51" s="5"/>
      <c r="F51" s="5"/>
      <c r="G51" s="5">
        <v>703.69</v>
      </c>
      <c r="H51" s="5"/>
      <c r="I51" s="5"/>
      <c r="J51" s="5"/>
      <c r="K51" s="5"/>
      <c r="L51" t="s">
        <v>790</v>
      </c>
    </row>
    <row r="52" spans="1:12" x14ac:dyDescent="0.25">
      <c r="A52" s="2">
        <v>45474</v>
      </c>
      <c r="B52" t="s">
        <v>848</v>
      </c>
      <c r="C52" t="s">
        <v>878</v>
      </c>
      <c r="D52" t="s">
        <v>879</v>
      </c>
      <c r="E52" s="5"/>
      <c r="F52" s="5"/>
      <c r="G52" s="5">
        <v>204.1</v>
      </c>
      <c r="H52" s="5"/>
      <c r="I52" s="5"/>
      <c r="J52" s="5"/>
      <c r="K52" s="5"/>
      <c r="L52" t="s">
        <v>790</v>
      </c>
    </row>
    <row r="53" spans="1:12" x14ac:dyDescent="0.25">
      <c r="A53" s="2">
        <v>45369</v>
      </c>
      <c r="B53" t="s">
        <v>848</v>
      </c>
      <c r="C53" t="s">
        <v>880</v>
      </c>
      <c r="D53" t="s">
        <v>850</v>
      </c>
      <c r="E53" s="5">
        <v>145.18</v>
      </c>
      <c r="F53" s="5"/>
      <c r="G53" s="5"/>
      <c r="H53" s="5"/>
      <c r="I53" s="5"/>
      <c r="J53" s="5"/>
      <c r="K53" s="5"/>
      <c r="L53" t="s">
        <v>881</v>
      </c>
    </row>
    <row r="54" spans="1:12" x14ac:dyDescent="0.25">
      <c r="A54" s="2">
        <v>45320</v>
      </c>
      <c r="B54" t="s">
        <v>848</v>
      </c>
      <c r="C54" t="s">
        <v>882</v>
      </c>
      <c r="D54" t="s">
        <v>853</v>
      </c>
      <c r="E54" s="5"/>
      <c r="F54" s="5"/>
      <c r="G54" s="5"/>
      <c r="H54" s="5"/>
      <c r="I54" s="5">
        <v>1058.52</v>
      </c>
      <c r="J54" s="5"/>
      <c r="K54" s="5"/>
      <c r="L54" t="s">
        <v>68</v>
      </c>
    </row>
    <row r="55" spans="1:12" x14ac:dyDescent="0.25">
      <c r="A55" s="2">
        <v>45320</v>
      </c>
      <c r="B55" t="s">
        <v>976</v>
      </c>
      <c r="C55" t="s">
        <v>1009</v>
      </c>
      <c r="D55" t="s">
        <v>879</v>
      </c>
      <c r="E55" s="5"/>
      <c r="F55" s="5"/>
      <c r="G55" s="5"/>
      <c r="H55" s="5"/>
      <c r="I55" s="5">
        <v>34.51</v>
      </c>
      <c r="J55" s="5"/>
      <c r="K55" s="5"/>
      <c r="L55" t="s">
        <v>68</v>
      </c>
    </row>
    <row r="56" spans="1:12" x14ac:dyDescent="0.25">
      <c r="A56" s="2">
        <v>45320</v>
      </c>
      <c r="B56" t="s">
        <v>976</v>
      </c>
      <c r="C56" t="s">
        <v>1010</v>
      </c>
      <c r="D56" t="s">
        <v>879</v>
      </c>
      <c r="E56" s="5"/>
      <c r="F56" s="5"/>
      <c r="G56" s="5"/>
      <c r="H56" s="5"/>
      <c r="I56" s="5">
        <v>34.51</v>
      </c>
      <c r="J56" s="5"/>
      <c r="K56" s="5"/>
      <c r="L56" t="s">
        <v>68</v>
      </c>
    </row>
    <row r="57" spans="1:12" x14ac:dyDescent="0.25">
      <c r="A57" s="2">
        <v>45320</v>
      </c>
      <c r="B57" t="s">
        <v>848</v>
      </c>
      <c r="C57" t="s">
        <v>883</v>
      </c>
      <c r="D57" t="s">
        <v>884</v>
      </c>
      <c r="E57" s="5"/>
      <c r="F57" s="5"/>
      <c r="G57" s="5"/>
      <c r="H57" s="5"/>
      <c r="I57" s="5">
        <v>836.01</v>
      </c>
      <c r="J57" s="5"/>
      <c r="K57" s="5"/>
      <c r="L57" t="s">
        <v>68</v>
      </c>
    </row>
    <row r="58" spans="1:12" x14ac:dyDescent="0.25">
      <c r="A58" s="2">
        <v>45320</v>
      </c>
      <c r="B58" t="s">
        <v>976</v>
      </c>
      <c r="C58" t="s">
        <v>1011</v>
      </c>
      <c r="D58" t="s">
        <v>879</v>
      </c>
      <c r="E58" s="5"/>
      <c r="F58" s="5"/>
      <c r="G58" s="5"/>
      <c r="H58" s="5"/>
      <c r="I58" s="5">
        <v>136.97999999999999</v>
      </c>
      <c r="J58" s="5"/>
      <c r="K58" s="5"/>
      <c r="L58" t="s">
        <v>68</v>
      </c>
    </row>
    <row r="59" spans="1:12" x14ac:dyDescent="0.25">
      <c r="A59" s="2">
        <v>45320</v>
      </c>
      <c r="B59" t="s">
        <v>976</v>
      </c>
      <c r="C59" t="s">
        <v>1012</v>
      </c>
      <c r="D59" t="s">
        <v>879</v>
      </c>
      <c r="E59" s="5"/>
      <c r="F59" s="5"/>
      <c r="G59" s="5"/>
      <c r="H59" s="5"/>
      <c r="I59" s="5">
        <v>78.37</v>
      </c>
      <c r="J59" s="5"/>
      <c r="K59" s="5"/>
      <c r="L59" t="s">
        <v>68</v>
      </c>
    </row>
    <row r="60" spans="1:12" x14ac:dyDescent="0.25">
      <c r="A60" s="2">
        <v>45320</v>
      </c>
      <c r="B60" t="s">
        <v>848</v>
      </c>
      <c r="C60" t="s">
        <v>885</v>
      </c>
      <c r="D60" t="s">
        <v>853</v>
      </c>
      <c r="E60" s="5"/>
      <c r="F60" s="5"/>
      <c r="G60" s="5"/>
      <c r="H60" s="5"/>
      <c r="I60" s="5">
        <v>69.02</v>
      </c>
      <c r="J60" s="5"/>
      <c r="K60" s="5"/>
      <c r="L60" t="s">
        <v>68</v>
      </c>
    </row>
    <row r="61" spans="1:12" x14ac:dyDescent="0.25">
      <c r="A61" s="2">
        <v>45322</v>
      </c>
      <c r="B61" t="s">
        <v>848</v>
      </c>
      <c r="C61" t="s">
        <v>886</v>
      </c>
      <c r="D61" t="s">
        <v>884</v>
      </c>
      <c r="E61" s="5"/>
      <c r="F61" s="5"/>
      <c r="G61" s="5"/>
      <c r="H61" s="5"/>
      <c r="I61" s="5">
        <v>278.89</v>
      </c>
      <c r="J61" s="5"/>
      <c r="K61" s="5"/>
      <c r="L61" t="s">
        <v>68</v>
      </c>
    </row>
    <row r="62" spans="1:12" x14ac:dyDescent="0.25">
      <c r="A62" s="2">
        <v>45322</v>
      </c>
      <c r="B62" t="s">
        <v>976</v>
      </c>
      <c r="C62" t="s">
        <v>1013</v>
      </c>
      <c r="D62" t="s">
        <v>879</v>
      </c>
      <c r="E62" s="5"/>
      <c r="F62" s="5"/>
      <c r="G62" s="5"/>
      <c r="H62" s="5"/>
      <c r="I62" s="5">
        <v>69.02</v>
      </c>
      <c r="J62" s="5"/>
      <c r="K62" s="5"/>
      <c r="L62" t="s">
        <v>68</v>
      </c>
    </row>
    <row r="63" spans="1:12" x14ac:dyDescent="0.25">
      <c r="A63" s="2">
        <v>45345</v>
      </c>
      <c r="B63" t="s">
        <v>976</v>
      </c>
      <c r="C63" t="s">
        <v>1014</v>
      </c>
      <c r="D63" t="s">
        <v>879</v>
      </c>
      <c r="E63" s="5"/>
      <c r="F63" s="5"/>
      <c r="G63" s="5"/>
      <c r="H63" s="5"/>
      <c r="I63" s="5">
        <v>171.66</v>
      </c>
      <c r="J63" s="5"/>
      <c r="K63" s="5"/>
      <c r="L63" t="s">
        <v>68</v>
      </c>
    </row>
    <row r="64" spans="1:12" x14ac:dyDescent="0.25">
      <c r="A64" s="2">
        <v>45345</v>
      </c>
      <c r="B64" t="s">
        <v>848</v>
      </c>
      <c r="C64" t="s">
        <v>887</v>
      </c>
      <c r="D64" t="s">
        <v>884</v>
      </c>
      <c r="E64" s="5"/>
      <c r="F64" s="5"/>
      <c r="G64" s="5"/>
      <c r="H64" s="5"/>
      <c r="I64" s="5">
        <v>513.70000000000005</v>
      </c>
      <c r="J64" s="5"/>
      <c r="K64" s="5"/>
      <c r="L64" t="s">
        <v>68</v>
      </c>
    </row>
    <row r="65" spans="1:12" x14ac:dyDescent="0.25">
      <c r="A65" s="2">
        <v>45345</v>
      </c>
      <c r="B65" t="s">
        <v>848</v>
      </c>
      <c r="C65" t="s">
        <v>888</v>
      </c>
      <c r="D65" t="s">
        <v>884</v>
      </c>
      <c r="E65" s="5"/>
      <c r="F65" s="5"/>
      <c r="G65" s="5"/>
      <c r="H65" s="5"/>
      <c r="I65" s="5">
        <v>69.02</v>
      </c>
      <c r="J65" s="5"/>
      <c r="K65" s="5"/>
      <c r="L65" t="s">
        <v>68</v>
      </c>
    </row>
    <row r="66" spans="1:12" x14ac:dyDescent="0.25">
      <c r="A66" s="2">
        <v>45345</v>
      </c>
      <c r="B66" t="s">
        <v>848</v>
      </c>
      <c r="C66" t="s">
        <v>889</v>
      </c>
      <c r="D66" t="s">
        <v>884</v>
      </c>
      <c r="E66" s="5"/>
      <c r="F66" s="5"/>
      <c r="G66" s="5"/>
      <c r="H66" s="5"/>
      <c r="I66" s="5">
        <v>203.06</v>
      </c>
      <c r="J66" s="5"/>
      <c r="K66" s="5"/>
      <c r="L66" t="s">
        <v>68</v>
      </c>
    </row>
    <row r="67" spans="1:12" x14ac:dyDescent="0.25">
      <c r="A67" s="2">
        <v>45345</v>
      </c>
      <c r="B67" t="s">
        <v>976</v>
      </c>
      <c r="C67" t="s">
        <v>1015</v>
      </c>
      <c r="D67" t="s">
        <v>879</v>
      </c>
      <c r="E67" s="5"/>
      <c r="F67" s="5"/>
      <c r="G67" s="5"/>
      <c r="H67" s="5"/>
      <c r="I67" s="5">
        <v>34.51</v>
      </c>
      <c r="J67" s="5"/>
      <c r="K67" s="5"/>
      <c r="L67" t="s">
        <v>68</v>
      </c>
    </row>
    <row r="68" spans="1:12" x14ac:dyDescent="0.25">
      <c r="A68" s="2">
        <v>45345</v>
      </c>
      <c r="B68" t="s">
        <v>848</v>
      </c>
      <c r="C68" t="s">
        <v>890</v>
      </c>
      <c r="D68" t="s">
        <v>891</v>
      </c>
      <c r="E68" s="5"/>
      <c r="F68" s="5"/>
      <c r="G68" s="5"/>
      <c r="H68" s="5"/>
      <c r="I68" s="5"/>
      <c r="J68" s="5">
        <v>34.51</v>
      </c>
      <c r="K68" s="5"/>
      <c r="L68" t="s">
        <v>68</v>
      </c>
    </row>
    <row r="69" spans="1:12" x14ac:dyDescent="0.25">
      <c r="A69" s="2">
        <v>45345</v>
      </c>
      <c r="B69" t="s">
        <v>848</v>
      </c>
      <c r="C69" t="s">
        <v>892</v>
      </c>
      <c r="D69" t="s">
        <v>893</v>
      </c>
      <c r="E69" s="5"/>
      <c r="F69" s="5"/>
      <c r="G69" s="5"/>
      <c r="H69" s="5"/>
      <c r="I69" s="5">
        <v>76.400000000000006</v>
      </c>
      <c r="J69" s="5"/>
      <c r="K69" s="5"/>
      <c r="L69" t="s">
        <v>68</v>
      </c>
    </row>
    <row r="70" spans="1:12" x14ac:dyDescent="0.25">
      <c r="A70" s="2">
        <v>45345</v>
      </c>
      <c r="B70" t="s">
        <v>848</v>
      </c>
      <c r="C70" t="s">
        <v>894</v>
      </c>
      <c r="D70" t="s">
        <v>879</v>
      </c>
      <c r="E70" s="5"/>
      <c r="F70" s="5"/>
      <c r="G70" s="5"/>
      <c r="H70" s="5"/>
      <c r="I70" s="5">
        <v>72.22</v>
      </c>
      <c r="J70" s="5"/>
      <c r="K70" s="5"/>
      <c r="L70" t="s">
        <v>68</v>
      </c>
    </row>
    <row r="71" spans="1:12" x14ac:dyDescent="0.25">
      <c r="A71" s="2">
        <v>45345</v>
      </c>
      <c r="B71" t="s">
        <v>848</v>
      </c>
      <c r="C71" t="s">
        <v>895</v>
      </c>
      <c r="D71" t="s">
        <v>879</v>
      </c>
      <c r="E71" s="5"/>
      <c r="F71" s="5"/>
      <c r="G71" s="5"/>
      <c r="H71" s="5"/>
      <c r="I71" s="5">
        <v>70.16</v>
      </c>
      <c r="J71" s="5"/>
      <c r="K71" s="5"/>
      <c r="L71" t="s">
        <v>68</v>
      </c>
    </row>
    <row r="72" spans="1:12" x14ac:dyDescent="0.25">
      <c r="A72" s="2">
        <v>45351</v>
      </c>
      <c r="B72" t="s">
        <v>848</v>
      </c>
      <c r="C72" t="s">
        <v>896</v>
      </c>
      <c r="D72" t="s">
        <v>884</v>
      </c>
      <c r="E72" s="5"/>
      <c r="F72" s="5"/>
      <c r="G72" s="5"/>
      <c r="H72" s="5"/>
      <c r="I72" s="5">
        <v>358.25</v>
      </c>
      <c r="J72" s="5"/>
      <c r="K72" s="5"/>
      <c r="L72" t="s">
        <v>68</v>
      </c>
    </row>
    <row r="73" spans="1:12" x14ac:dyDescent="0.25">
      <c r="A73" s="2">
        <v>45351</v>
      </c>
      <c r="B73" t="s">
        <v>976</v>
      </c>
      <c r="C73" t="s">
        <v>1016</v>
      </c>
      <c r="D73" t="s">
        <v>879</v>
      </c>
      <c r="E73" s="5"/>
      <c r="F73" s="5"/>
      <c r="G73" s="5"/>
      <c r="H73" s="5"/>
      <c r="I73" s="5">
        <v>69.02</v>
      </c>
      <c r="J73" s="5"/>
      <c r="K73" s="5"/>
      <c r="L73" t="s">
        <v>68</v>
      </c>
    </row>
    <row r="74" spans="1:12" x14ac:dyDescent="0.25">
      <c r="A74" s="2">
        <v>45351</v>
      </c>
      <c r="B74" t="s">
        <v>976</v>
      </c>
      <c r="C74" t="s">
        <v>1017</v>
      </c>
      <c r="D74" t="s">
        <v>879</v>
      </c>
      <c r="E74" s="5"/>
      <c r="F74" s="5"/>
      <c r="G74" s="5"/>
      <c r="H74" s="5"/>
      <c r="I74" s="5">
        <v>69.02</v>
      </c>
      <c r="J74" s="5"/>
      <c r="K74" s="5"/>
      <c r="L74" t="s">
        <v>68</v>
      </c>
    </row>
    <row r="75" spans="1:12" x14ac:dyDescent="0.25">
      <c r="A75" s="2">
        <v>45351</v>
      </c>
      <c r="B75" t="s">
        <v>976</v>
      </c>
      <c r="C75" t="s">
        <v>1018</v>
      </c>
      <c r="D75" t="s">
        <v>879</v>
      </c>
      <c r="E75" s="5"/>
      <c r="F75" s="5"/>
      <c r="G75" s="5"/>
      <c r="H75" s="5"/>
      <c r="I75" s="5">
        <v>96.91</v>
      </c>
      <c r="J75" s="5"/>
      <c r="K75" s="5"/>
      <c r="L75" t="s">
        <v>68</v>
      </c>
    </row>
    <row r="76" spans="1:12" x14ac:dyDescent="0.25">
      <c r="A76" s="2">
        <v>45351</v>
      </c>
      <c r="B76" t="s">
        <v>848</v>
      </c>
      <c r="C76" t="s">
        <v>897</v>
      </c>
      <c r="D76" t="s">
        <v>884</v>
      </c>
      <c r="E76" s="5"/>
      <c r="F76" s="5"/>
      <c r="G76" s="5"/>
      <c r="H76" s="5"/>
      <c r="I76" s="5">
        <v>201.82</v>
      </c>
      <c r="J76" s="5"/>
      <c r="K76" s="5"/>
      <c r="L76" t="s">
        <v>68</v>
      </c>
    </row>
    <row r="77" spans="1:12" x14ac:dyDescent="0.25">
      <c r="A77" s="2">
        <v>45351</v>
      </c>
      <c r="B77" t="s">
        <v>848</v>
      </c>
      <c r="C77" t="s">
        <v>898</v>
      </c>
      <c r="D77" t="s">
        <v>853</v>
      </c>
      <c r="E77" s="5"/>
      <c r="F77" s="5"/>
      <c r="G77" s="5"/>
      <c r="H77" s="5"/>
      <c r="I77" s="5">
        <v>69.02</v>
      </c>
      <c r="J77" s="5"/>
      <c r="K77" s="5"/>
      <c r="L77" t="s">
        <v>68</v>
      </c>
    </row>
    <row r="78" spans="1:12" x14ac:dyDescent="0.25">
      <c r="A78" s="2">
        <v>45351</v>
      </c>
      <c r="B78" t="s">
        <v>976</v>
      </c>
      <c r="C78" t="s">
        <v>1019</v>
      </c>
      <c r="D78" t="s">
        <v>879</v>
      </c>
      <c r="E78" s="5"/>
      <c r="F78" s="5"/>
      <c r="G78" s="5"/>
      <c r="H78" s="5"/>
      <c r="I78" s="5">
        <v>69.02</v>
      </c>
      <c r="J78" s="5"/>
      <c r="K78" s="5"/>
      <c r="L78" t="s">
        <v>68</v>
      </c>
    </row>
    <row r="79" spans="1:12" x14ac:dyDescent="0.25">
      <c r="A79" s="2">
        <v>45376</v>
      </c>
      <c r="B79" t="s">
        <v>848</v>
      </c>
      <c r="C79" t="s">
        <v>899</v>
      </c>
      <c r="D79" t="s">
        <v>900</v>
      </c>
      <c r="E79" s="5"/>
      <c r="F79" s="5"/>
      <c r="G79" s="5"/>
      <c r="H79" s="5"/>
      <c r="I79" s="5"/>
      <c r="J79" s="5">
        <v>69.02</v>
      </c>
      <c r="K79" s="5"/>
      <c r="L79" t="s">
        <v>68</v>
      </c>
    </row>
    <row r="80" spans="1:12" x14ac:dyDescent="0.25">
      <c r="A80" s="2">
        <v>45376</v>
      </c>
      <c r="B80" t="s">
        <v>848</v>
      </c>
      <c r="C80" t="s">
        <v>901</v>
      </c>
      <c r="D80" t="s">
        <v>884</v>
      </c>
      <c r="E80" s="5"/>
      <c r="F80" s="5"/>
      <c r="G80" s="5"/>
      <c r="H80" s="5"/>
      <c r="I80" s="5">
        <v>76.66</v>
      </c>
      <c r="J80" s="5"/>
      <c r="K80" s="5"/>
      <c r="L80" t="s">
        <v>68</v>
      </c>
    </row>
    <row r="81" spans="1:12" x14ac:dyDescent="0.25">
      <c r="A81" s="2">
        <v>45376</v>
      </c>
      <c r="B81" t="s">
        <v>976</v>
      </c>
      <c r="C81" t="s">
        <v>1020</v>
      </c>
      <c r="D81" t="s">
        <v>879</v>
      </c>
      <c r="E81" s="5"/>
      <c r="F81" s="5"/>
      <c r="G81" s="5"/>
      <c r="H81" s="5"/>
      <c r="I81" s="5">
        <v>88.1</v>
      </c>
      <c r="J81" s="5"/>
      <c r="K81" s="5"/>
      <c r="L81" t="s">
        <v>68</v>
      </c>
    </row>
    <row r="82" spans="1:12" x14ac:dyDescent="0.25">
      <c r="A82" s="2">
        <v>45376</v>
      </c>
      <c r="B82" t="s">
        <v>976</v>
      </c>
      <c r="C82" t="s">
        <v>1021</v>
      </c>
      <c r="D82" t="s">
        <v>879</v>
      </c>
      <c r="E82" s="5"/>
      <c r="F82" s="5"/>
      <c r="G82" s="5"/>
      <c r="H82" s="5"/>
      <c r="I82" s="5">
        <v>66.45</v>
      </c>
      <c r="J82" s="5"/>
      <c r="K82" s="5"/>
      <c r="L82" t="s">
        <v>68</v>
      </c>
    </row>
    <row r="83" spans="1:12" x14ac:dyDescent="0.25">
      <c r="A83" s="2">
        <v>45376</v>
      </c>
      <c r="B83" t="s">
        <v>848</v>
      </c>
      <c r="C83" t="s">
        <v>902</v>
      </c>
      <c r="D83" t="s">
        <v>884</v>
      </c>
      <c r="E83" s="5"/>
      <c r="F83" s="5"/>
      <c r="G83" s="5"/>
      <c r="H83" s="5"/>
      <c r="I83" s="5">
        <v>215.37</v>
      </c>
      <c r="J83" s="5"/>
      <c r="K83" s="5"/>
      <c r="L83" t="s">
        <v>68</v>
      </c>
    </row>
    <row r="84" spans="1:12" x14ac:dyDescent="0.25">
      <c r="A84" s="2">
        <v>45376</v>
      </c>
      <c r="B84" t="s">
        <v>976</v>
      </c>
      <c r="C84" t="s">
        <v>1022</v>
      </c>
      <c r="D84" t="s">
        <v>879</v>
      </c>
      <c r="E84" s="5"/>
      <c r="F84" s="5"/>
      <c r="G84" s="5"/>
      <c r="H84" s="5"/>
      <c r="I84" s="5">
        <v>69.02</v>
      </c>
      <c r="J84" s="5"/>
      <c r="K84" s="5"/>
      <c r="L84" t="s">
        <v>68</v>
      </c>
    </row>
    <row r="85" spans="1:12" x14ac:dyDescent="0.25">
      <c r="A85" s="2">
        <v>45376</v>
      </c>
      <c r="B85" t="s">
        <v>848</v>
      </c>
      <c r="C85" t="s">
        <v>903</v>
      </c>
      <c r="D85" t="s">
        <v>853</v>
      </c>
      <c r="E85" s="5"/>
      <c r="F85" s="5"/>
      <c r="G85" s="5"/>
      <c r="H85" s="5"/>
      <c r="I85" s="5">
        <v>34.51</v>
      </c>
      <c r="J85" s="5"/>
      <c r="K85" s="5"/>
      <c r="L85" t="s">
        <v>68</v>
      </c>
    </row>
    <row r="86" spans="1:12" x14ac:dyDescent="0.25">
      <c r="A86" s="2">
        <v>45376</v>
      </c>
      <c r="B86" t="s">
        <v>976</v>
      </c>
      <c r="C86" t="s">
        <v>1023</v>
      </c>
      <c r="D86" t="s">
        <v>879</v>
      </c>
      <c r="E86" s="5"/>
      <c r="F86" s="5"/>
      <c r="G86" s="5"/>
      <c r="H86" s="5"/>
      <c r="I86" s="5">
        <v>65.97</v>
      </c>
      <c r="J86" s="5"/>
      <c r="K86" s="5"/>
      <c r="L86" t="s">
        <v>68</v>
      </c>
    </row>
    <row r="87" spans="1:12" x14ac:dyDescent="0.25">
      <c r="A87" s="2">
        <v>45379</v>
      </c>
      <c r="B87" t="s">
        <v>976</v>
      </c>
      <c r="C87" t="s">
        <v>1024</v>
      </c>
      <c r="D87" t="s">
        <v>879</v>
      </c>
      <c r="E87" s="5"/>
      <c r="F87" s="5"/>
      <c r="G87" s="5"/>
      <c r="H87" s="5"/>
      <c r="I87" s="5">
        <v>129.36000000000001</v>
      </c>
      <c r="J87" s="5"/>
      <c r="K87" s="5"/>
      <c r="L87" t="s">
        <v>68</v>
      </c>
    </row>
    <row r="88" spans="1:12" x14ac:dyDescent="0.25">
      <c r="A88" s="2">
        <v>45379</v>
      </c>
      <c r="B88" t="s">
        <v>848</v>
      </c>
      <c r="C88" t="s">
        <v>904</v>
      </c>
      <c r="D88" t="s">
        <v>905</v>
      </c>
      <c r="E88" s="5"/>
      <c r="F88" s="5"/>
      <c r="G88" s="5"/>
      <c r="H88" s="5"/>
      <c r="I88" s="5">
        <v>92.88</v>
      </c>
      <c r="J88" s="5"/>
      <c r="K88" s="5"/>
      <c r="L88" t="s">
        <v>68</v>
      </c>
    </row>
    <row r="89" spans="1:12" x14ac:dyDescent="0.25">
      <c r="A89" s="2">
        <v>45379</v>
      </c>
      <c r="B89" t="s">
        <v>976</v>
      </c>
      <c r="C89" t="s">
        <v>1025</v>
      </c>
      <c r="D89" t="s">
        <v>884</v>
      </c>
      <c r="E89" s="5"/>
      <c r="F89" s="5"/>
      <c r="G89" s="5"/>
      <c r="H89" s="5"/>
      <c r="I89" s="5">
        <v>69.02</v>
      </c>
      <c r="J89" s="5"/>
      <c r="K89" s="5"/>
      <c r="L89" t="s">
        <v>68</v>
      </c>
    </row>
    <row r="90" spans="1:12" x14ac:dyDescent="0.25">
      <c r="A90" s="2">
        <v>45379</v>
      </c>
      <c r="B90" t="s">
        <v>976</v>
      </c>
      <c r="C90" t="s">
        <v>1026</v>
      </c>
      <c r="D90" t="s">
        <v>879</v>
      </c>
      <c r="E90" s="5"/>
      <c r="F90" s="5"/>
      <c r="G90" s="5"/>
      <c r="H90" s="5"/>
      <c r="I90" s="5">
        <v>88.87</v>
      </c>
      <c r="J90" s="5"/>
      <c r="K90" s="5"/>
      <c r="L90" t="s">
        <v>68</v>
      </c>
    </row>
    <row r="91" spans="1:12" x14ac:dyDescent="0.25">
      <c r="A91" s="2">
        <v>45406</v>
      </c>
      <c r="B91" t="s">
        <v>848</v>
      </c>
      <c r="C91" t="s">
        <v>906</v>
      </c>
      <c r="D91" t="s">
        <v>853</v>
      </c>
      <c r="E91" s="5"/>
      <c r="F91" s="5"/>
      <c r="G91" s="5"/>
      <c r="H91" s="5"/>
      <c r="I91" s="5">
        <v>1617.59</v>
      </c>
      <c r="J91" s="5"/>
      <c r="K91" s="5"/>
      <c r="L91" t="s">
        <v>68</v>
      </c>
    </row>
    <row r="92" spans="1:12" x14ac:dyDescent="0.25">
      <c r="A92" s="2">
        <v>45406</v>
      </c>
      <c r="B92" t="s">
        <v>848</v>
      </c>
      <c r="C92" t="s">
        <v>907</v>
      </c>
      <c r="D92" t="s">
        <v>908</v>
      </c>
      <c r="E92" s="5"/>
      <c r="F92" s="5"/>
      <c r="G92" s="5"/>
      <c r="H92" s="5"/>
      <c r="I92" s="5">
        <v>522.67999999999995</v>
      </c>
      <c r="J92" s="5"/>
      <c r="K92" s="5"/>
      <c r="L92" t="s">
        <v>68</v>
      </c>
    </row>
    <row r="93" spans="1:12" x14ac:dyDescent="0.25">
      <c r="A93" s="2">
        <v>45406</v>
      </c>
      <c r="B93" t="s">
        <v>976</v>
      </c>
      <c r="C93" t="s">
        <v>1027</v>
      </c>
      <c r="D93" t="s">
        <v>879</v>
      </c>
      <c r="E93" s="5"/>
      <c r="F93" s="5"/>
      <c r="G93" s="5"/>
      <c r="H93" s="5"/>
      <c r="I93" s="5">
        <v>159.29</v>
      </c>
      <c r="J93" s="5"/>
      <c r="K93" s="5"/>
      <c r="L93" t="s">
        <v>68</v>
      </c>
    </row>
    <row r="94" spans="1:12" x14ac:dyDescent="0.25">
      <c r="A94" s="2">
        <v>45406</v>
      </c>
      <c r="B94" t="s">
        <v>976</v>
      </c>
      <c r="C94" t="s">
        <v>1028</v>
      </c>
      <c r="D94" t="s">
        <v>879</v>
      </c>
      <c r="E94" s="5"/>
      <c r="F94" s="5"/>
      <c r="G94" s="5"/>
      <c r="H94" s="5"/>
      <c r="I94" s="5">
        <v>34.51</v>
      </c>
      <c r="J94" s="5"/>
      <c r="K94" s="5"/>
      <c r="L94" t="s">
        <v>68</v>
      </c>
    </row>
    <row r="95" spans="1:12" x14ac:dyDescent="0.25">
      <c r="A95" s="2">
        <v>45406</v>
      </c>
      <c r="B95" t="s">
        <v>848</v>
      </c>
      <c r="C95" t="s">
        <v>909</v>
      </c>
      <c r="D95" t="s">
        <v>853</v>
      </c>
      <c r="E95" s="5"/>
      <c r="F95" s="5"/>
      <c r="G95" s="5"/>
      <c r="H95" s="5"/>
      <c r="I95" s="5">
        <v>604.55999999999995</v>
      </c>
      <c r="J95" s="5"/>
      <c r="K95" s="5"/>
      <c r="L95" t="s">
        <v>68</v>
      </c>
    </row>
    <row r="96" spans="1:12" x14ac:dyDescent="0.25">
      <c r="A96" s="2">
        <v>45406</v>
      </c>
      <c r="B96" t="s">
        <v>848</v>
      </c>
      <c r="C96" t="s">
        <v>910</v>
      </c>
      <c r="D96" t="s">
        <v>884</v>
      </c>
      <c r="E96" s="5"/>
      <c r="F96" s="5"/>
      <c r="G96" s="5"/>
      <c r="H96" s="5"/>
      <c r="I96" s="5">
        <v>69.02</v>
      </c>
      <c r="J96" s="5"/>
      <c r="K96" s="5"/>
      <c r="L96" t="s">
        <v>68</v>
      </c>
    </row>
    <row r="97" spans="1:12" x14ac:dyDescent="0.25">
      <c r="A97" s="2">
        <v>45407</v>
      </c>
      <c r="B97" t="s">
        <v>848</v>
      </c>
      <c r="C97" t="s">
        <v>911</v>
      </c>
      <c r="D97" t="s">
        <v>884</v>
      </c>
      <c r="E97" s="5"/>
      <c r="F97" s="5"/>
      <c r="G97" s="5"/>
      <c r="H97" s="5"/>
      <c r="I97" s="5">
        <v>235.64</v>
      </c>
      <c r="J97" s="5"/>
      <c r="K97" s="5"/>
      <c r="L97" t="s">
        <v>68</v>
      </c>
    </row>
    <row r="98" spans="1:12" x14ac:dyDescent="0.25">
      <c r="A98" s="2">
        <v>45435</v>
      </c>
      <c r="B98" t="s">
        <v>848</v>
      </c>
      <c r="C98" t="s">
        <v>912</v>
      </c>
      <c r="D98" t="s">
        <v>884</v>
      </c>
      <c r="E98" s="5"/>
      <c r="F98" s="5"/>
      <c r="G98" s="5"/>
      <c r="H98" s="5"/>
      <c r="I98" s="5">
        <v>395.51</v>
      </c>
      <c r="J98" s="5"/>
      <c r="K98" s="5"/>
      <c r="L98" t="s">
        <v>68</v>
      </c>
    </row>
    <row r="99" spans="1:12" x14ac:dyDescent="0.25">
      <c r="A99" s="2">
        <v>45435</v>
      </c>
      <c r="B99" t="s">
        <v>976</v>
      </c>
      <c r="C99" t="s">
        <v>1029</v>
      </c>
      <c r="D99" t="s">
        <v>879</v>
      </c>
      <c r="E99" s="5"/>
      <c r="F99" s="5"/>
      <c r="G99" s="5"/>
      <c r="H99" s="5"/>
      <c r="I99" s="5">
        <v>75.02</v>
      </c>
      <c r="J99" s="5"/>
      <c r="K99" s="5"/>
      <c r="L99" t="s">
        <v>68</v>
      </c>
    </row>
    <row r="100" spans="1:12" x14ac:dyDescent="0.25">
      <c r="A100" s="2">
        <v>45435</v>
      </c>
      <c r="B100" t="s">
        <v>976</v>
      </c>
      <c r="C100" t="s">
        <v>1030</v>
      </c>
      <c r="D100" t="s">
        <v>879</v>
      </c>
      <c r="E100" s="5"/>
      <c r="F100" s="5"/>
      <c r="G100" s="5"/>
      <c r="H100" s="5"/>
      <c r="I100" s="5">
        <v>75.81</v>
      </c>
      <c r="J100" s="5"/>
      <c r="K100" s="5"/>
      <c r="L100" t="s">
        <v>68</v>
      </c>
    </row>
    <row r="101" spans="1:12" x14ac:dyDescent="0.25">
      <c r="A101" s="2">
        <v>45435</v>
      </c>
      <c r="B101" t="s">
        <v>976</v>
      </c>
      <c r="C101" t="s">
        <v>1031</v>
      </c>
      <c r="D101" t="s">
        <v>879</v>
      </c>
      <c r="E101" s="5"/>
      <c r="F101" s="5"/>
      <c r="G101" s="5"/>
      <c r="H101" s="5"/>
      <c r="I101" s="5">
        <v>69.02</v>
      </c>
      <c r="J101" s="5"/>
      <c r="K101" s="5"/>
      <c r="L101" t="s">
        <v>68</v>
      </c>
    </row>
    <row r="102" spans="1:12" x14ac:dyDescent="0.25">
      <c r="A102" s="2">
        <v>45436</v>
      </c>
      <c r="B102" t="s">
        <v>976</v>
      </c>
      <c r="C102" t="s">
        <v>1032</v>
      </c>
      <c r="D102" t="s">
        <v>853</v>
      </c>
      <c r="E102" s="5"/>
      <c r="F102" s="5"/>
      <c r="G102" s="5"/>
      <c r="H102" s="5"/>
      <c r="I102" s="5">
        <v>831.55</v>
      </c>
      <c r="J102" s="5"/>
      <c r="K102" s="5"/>
      <c r="L102" t="s">
        <v>68</v>
      </c>
    </row>
    <row r="103" spans="1:12" x14ac:dyDescent="0.25">
      <c r="A103" s="2">
        <v>45442</v>
      </c>
      <c r="B103" t="s">
        <v>976</v>
      </c>
      <c r="C103" t="s">
        <v>1033</v>
      </c>
      <c r="D103" t="s">
        <v>879</v>
      </c>
      <c r="E103" s="5"/>
      <c r="F103" s="5"/>
      <c r="G103" s="5"/>
      <c r="H103" s="5"/>
      <c r="I103" s="5">
        <v>82.76</v>
      </c>
      <c r="J103" s="5"/>
      <c r="K103" s="5"/>
      <c r="L103" t="s">
        <v>68</v>
      </c>
    </row>
    <row r="104" spans="1:12" x14ac:dyDescent="0.25">
      <c r="A104" s="2">
        <v>45442</v>
      </c>
      <c r="B104" t="s">
        <v>976</v>
      </c>
      <c r="C104" t="s">
        <v>1034</v>
      </c>
      <c r="D104" t="s">
        <v>879</v>
      </c>
      <c r="E104" s="5"/>
      <c r="F104" s="5"/>
      <c r="G104" s="5"/>
      <c r="H104" s="5"/>
      <c r="I104" s="5">
        <v>69.02</v>
      </c>
      <c r="J104" s="5"/>
      <c r="K104" s="5"/>
      <c r="L104" t="s">
        <v>68</v>
      </c>
    </row>
    <row r="105" spans="1:12" x14ac:dyDescent="0.25">
      <c r="A105" s="2">
        <v>45442</v>
      </c>
      <c r="B105" t="s">
        <v>848</v>
      </c>
      <c r="C105" t="s">
        <v>913</v>
      </c>
      <c r="D105" t="s">
        <v>914</v>
      </c>
      <c r="E105" s="5"/>
      <c r="F105" s="5"/>
      <c r="G105" s="5"/>
      <c r="H105" s="5"/>
      <c r="I105" s="5">
        <v>34.51</v>
      </c>
      <c r="J105" s="5"/>
      <c r="K105" s="5"/>
      <c r="L105" t="s">
        <v>68</v>
      </c>
    </row>
    <row r="106" spans="1:12" x14ac:dyDescent="0.25">
      <c r="A106" s="2">
        <v>45442</v>
      </c>
      <c r="B106" t="s">
        <v>976</v>
      </c>
      <c r="C106" t="s">
        <v>1035</v>
      </c>
      <c r="D106" t="s">
        <v>879</v>
      </c>
      <c r="E106" s="5"/>
      <c r="F106" s="5"/>
      <c r="G106" s="5"/>
      <c r="H106" s="5"/>
      <c r="I106" s="5">
        <v>34.51</v>
      </c>
      <c r="J106" s="5"/>
      <c r="K106" s="5"/>
      <c r="L106" t="s">
        <v>68</v>
      </c>
    </row>
    <row r="107" spans="1:12" x14ac:dyDescent="0.25">
      <c r="A107" s="2">
        <v>45442</v>
      </c>
      <c r="B107" t="s">
        <v>976</v>
      </c>
      <c r="C107" t="s">
        <v>1036</v>
      </c>
      <c r="D107" t="s">
        <v>879</v>
      </c>
      <c r="E107" s="5"/>
      <c r="F107" s="5"/>
      <c r="G107" s="5"/>
      <c r="H107" s="5"/>
      <c r="I107" s="5">
        <v>83.86</v>
      </c>
      <c r="J107" s="5"/>
      <c r="K107" s="5"/>
      <c r="L107" t="s">
        <v>68</v>
      </c>
    </row>
    <row r="108" spans="1:12" x14ac:dyDescent="0.25">
      <c r="A108" s="2">
        <v>45442</v>
      </c>
      <c r="B108" t="s">
        <v>976</v>
      </c>
      <c r="C108" t="s">
        <v>1037</v>
      </c>
      <c r="D108" t="s">
        <v>879</v>
      </c>
      <c r="E108" s="5"/>
      <c r="F108" s="5"/>
      <c r="G108" s="5"/>
      <c r="H108" s="5"/>
      <c r="I108" s="5">
        <v>148.88999999999999</v>
      </c>
      <c r="J108" s="5"/>
      <c r="K108" s="5"/>
      <c r="L108" t="s">
        <v>68</v>
      </c>
    </row>
    <row r="109" spans="1:12" x14ac:dyDescent="0.25">
      <c r="A109" s="2">
        <v>45442</v>
      </c>
      <c r="B109" t="s">
        <v>976</v>
      </c>
      <c r="C109" t="s">
        <v>1038</v>
      </c>
      <c r="D109" t="s">
        <v>879</v>
      </c>
      <c r="E109" s="5"/>
      <c r="F109" s="5"/>
      <c r="G109" s="5"/>
      <c r="H109" s="5"/>
      <c r="I109" s="5">
        <v>244.68</v>
      </c>
      <c r="J109" s="5"/>
      <c r="K109" s="5"/>
      <c r="L109" t="s">
        <v>68</v>
      </c>
    </row>
    <row r="110" spans="1:12" x14ac:dyDescent="0.25">
      <c r="A110" s="2">
        <v>45442</v>
      </c>
      <c r="B110" t="s">
        <v>976</v>
      </c>
      <c r="C110" t="s">
        <v>1039</v>
      </c>
      <c r="D110" t="s">
        <v>879</v>
      </c>
      <c r="E110" s="5"/>
      <c r="F110" s="5"/>
      <c r="G110" s="5"/>
      <c r="H110" s="5"/>
      <c r="I110" s="5">
        <v>53.53</v>
      </c>
      <c r="J110" s="5"/>
      <c r="K110" s="5"/>
      <c r="L110" t="s">
        <v>68</v>
      </c>
    </row>
    <row r="111" spans="1:12" x14ac:dyDescent="0.25">
      <c r="A111" s="2">
        <v>45442</v>
      </c>
      <c r="B111" t="s">
        <v>976</v>
      </c>
      <c r="C111" t="s">
        <v>1040</v>
      </c>
      <c r="D111" t="s">
        <v>879</v>
      </c>
      <c r="E111" s="5"/>
      <c r="F111" s="5"/>
      <c r="G111" s="5"/>
      <c r="H111" s="5"/>
      <c r="I111" s="5">
        <v>77.650000000000006</v>
      </c>
      <c r="J111" s="5"/>
      <c r="K111" s="5"/>
      <c r="L111" t="s">
        <v>68</v>
      </c>
    </row>
    <row r="112" spans="1:12" x14ac:dyDescent="0.25">
      <c r="A112" s="2">
        <v>45468</v>
      </c>
      <c r="B112" t="s">
        <v>976</v>
      </c>
      <c r="C112" t="s">
        <v>1041</v>
      </c>
      <c r="D112" t="s">
        <v>879</v>
      </c>
      <c r="E112" s="5"/>
      <c r="F112" s="5"/>
      <c r="G112" s="5"/>
      <c r="H112" s="5"/>
      <c r="I112" s="5">
        <v>34.51</v>
      </c>
      <c r="J112" s="5"/>
      <c r="K112" s="5"/>
      <c r="L112" t="s">
        <v>68</v>
      </c>
    </row>
    <row r="113" spans="1:12" x14ac:dyDescent="0.25">
      <c r="A113" s="2">
        <v>45468</v>
      </c>
      <c r="B113" t="s">
        <v>848</v>
      </c>
      <c r="C113" t="s">
        <v>915</v>
      </c>
      <c r="D113" t="s">
        <v>914</v>
      </c>
      <c r="E113" s="5"/>
      <c r="F113" s="5"/>
      <c r="G113" s="5"/>
      <c r="H113" s="5"/>
      <c r="I113" s="5">
        <v>69.02</v>
      </c>
      <c r="J113" s="5"/>
      <c r="K113" s="5"/>
      <c r="L113" t="s">
        <v>68</v>
      </c>
    </row>
    <row r="114" spans="1:12" x14ac:dyDescent="0.25">
      <c r="A114" s="2">
        <v>45468</v>
      </c>
      <c r="B114" t="s">
        <v>848</v>
      </c>
      <c r="C114" t="s">
        <v>916</v>
      </c>
      <c r="D114" t="s">
        <v>855</v>
      </c>
      <c r="E114" s="5"/>
      <c r="F114" s="5"/>
      <c r="G114" s="5"/>
      <c r="H114" s="5"/>
      <c r="I114" s="5">
        <v>115.11</v>
      </c>
      <c r="J114" s="5"/>
      <c r="K114" s="5"/>
      <c r="L114" t="s">
        <v>68</v>
      </c>
    </row>
    <row r="115" spans="1:12" x14ac:dyDescent="0.25">
      <c r="A115" s="2">
        <v>45468</v>
      </c>
      <c r="B115" t="s">
        <v>848</v>
      </c>
      <c r="C115" t="s">
        <v>917</v>
      </c>
      <c r="D115" t="s">
        <v>918</v>
      </c>
      <c r="E115" s="5"/>
      <c r="F115" s="5"/>
      <c r="G115" s="5"/>
      <c r="H115" s="5"/>
      <c r="I115" s="5">
        <v>34.51</v>
      </c>
      <c r="J115" s="5"/>
      <c r="K115" s="5"/>
      <c r="L115" t="s">
        <v>68</v>
      </c>
    </row>
    <row r="116" spans="1:12" x14ac:dyDescent="0.25">
      <c r="A116" s="2">
        <v>45468</v>
      </c>
      <c r="B116" t="s">
        <v>848</v>
      </c>
      <c r="C116" t="s">
        <v>919</v>
      </c>
      <c r="D116" t="s">
        <v>884</v>
      </c>
      <c r="E116" s="5"/>
      <c r="F116" s="5"/>
      <c r="G116" s="5"/>
      <c r="H116" s="5"/>
      <c r="I116" s="5">
        <v>117.54</v>
      </c>
      <c r="J116" s="5"/>
      <c r="K116" s="5"/>
      <c r="L116" t="s">
        <v>68</v>
      </c>
    </row>
    <row r="117" spans="1:12" x14ac:dyDescent="0.25">
      <c r="A117" s="2">
        <v>45468</v>
      </c>
      <c r="B117" t="s">
        <v>848</v>
      </c>
      <c r="C117" t="s">
        <v>920</v>
      </c>
      <c r="D117" t="s">
        <v>884</v>
      </c>
      <c r="E117" s="5"/>
      <c r="F117" s="5"/>
      <c r="G117" s="5"/>
      <c r="H117" s="5"/>
      <c r="I117" s="5">
        <v>308.27</v>
      </c>
      <c r="J117" s="5"/>
      <c r="K117" s="5"/>
      <c r="L117" t="s">
        <v>68</v>
      </c>
    </row>
    <row r="118" spans="1:12" x14ac:dyDescent="0.25">
      <c r="A118" s="2">
        <v>45468</v>
      </c>
      <c r="B118" t="s">
        <v>848</v>
      </c>
      <c r="C118" t="s">
        <v>921</v>
      </c>
      <c r="D118" t="s">
        <v>853</v>
      </c>
      <c r="E118" s="5"/>
      <c r="F118" s="5"/>
      <c r="G118" s="5"/>
      <c r="H118" s="5"/>
      <c r="I118" s="5">
        <v>164.27</v>
      </c>
      <c r="J118" s="5"/>
      <c r="K118" s="5"/>
      <c r="L118" t="s">
        <v>68</v>
      </c>
    </row>
    <row r="119" spans="1:12" x14ac:dyDescent="0.25">
      <c r="A119" s="2">
        <v>45468</v>
      </c>
      <c r="B119" t="s">
        <v>976</v>
      </c>
      <c r="C119" t="s">
        <v>1042</v>
      </c>
      <c r="D119" t="s">
        <v>879</v>
      </c>
      <c r="E119" s="5"/>
      <c r="F119" s="5"/>
      <c r="G119" s="5"/>
      <c r="H119" s="5"/>
      <c r="I119" s="5">
        <v>105.76</v>
      </c>
      <c r="J119" s="5"/>
      <c r="K119" s="5"/>
      <c r="L119" t="s">
        <v>68</v>
      </c>
    </row>
    <row r="120" spans="1:12" x14ac:dyDescent="0.25">
      <c r="A120" s="2">
        <v>45468</v>
      </c>
      <c r="B120" t="s">
        <v>848</v>
      </c>
      <c r="C120" t="s">
        <v>922</v>
      </c>
      <c r="D120" t="s">
        <v>923</v>
      </c>
      <c r="E120" s="5"/>
      <c r="F120" s="5"/>
      <c r="G120" s="5"/>
      <c r="H120" s="5"/>
      <c r="I120" s="5">
        <v>34.51</v>
      </c>
      <c r="J120" s="5"/>
      <c r="K120" s="5"/>
      <c r="L120" t="s">
        <v>68</v>
      </c>
    </row>
    <row r="121" spans="1:12" x14ac:dyDescent="0.25">
      <c r="A121" s="2">
        <v>45468</v>
      </c>
      <c r="B121" t="s">
        <v>848</v>
      </c>
      <c r="C121" t="s">
        <v>924</v>
      </c>
      <c r="D121" t="s">
        <v>853</v>
      </c>
      <c r="E121" s="5"/>
      <c r="F121" s="5"/>
      <c r="G121" s="5"/>
      <c r="H121" s="5"/>
      <c r="I121" s="5">
        <v>69.02</v>
      </c>
      <c r="J121" s="5"/>
      <c r="K121" s="5"/>
      <c r="L121" t="s">
        <v>68</v>
      </c>
    </row>
    <row r="122" spans="1:12" x14ac:dyDescent="0.25">
      <c r="A122" s="2">
        <v>45468</v>
      </c>
      <c r="B122" t="s">
        <v>976</v>
      </c>
      <c r="C122" t="s">
        <v>1043</v>
      </c>
      <c r="D122" t="s">
        <v>879</v>
      </c>
      <c r="E122" s="5"/>
      <c r="F122" s="5"/>
      <c r="G122" s="5"/>
      <c r="H122" s="5"/>
      <c r="I122" s="5">
        <v>105.7</v>
      </c>
      <c r="J122" s="5"/>
      <c r="K122" s="5"/>
      <c r="L122" t="s">
        <v>68</v>
      </c>
    </row>
    <row r="123" spans="1:12" x14ac:dyDescent="0.25">
      <c r="A123" s="2">
        <v>45470</v>
      </c>
      <c r="B123" t="s">
        <v>848</v>
      </c>
      <c r="C123" t="s">
        <v>925</v>
      </c>
      <c r="D123" t="s">
        <v>926</v>
      </c>
      <c r="E123" s="5"/>
      <c r="F123" s="5"/>
      <c r="G123" s="5"/>
      <c r="H123" s="5"/>
      <c r="I123" s="5">
        <v>34.51</v>
      </c>
      <c r="J123" s="5"/>
      <c r="K123" s="5"/>
      <c r="L123" t="s">
        <v>68</v>
      </c>
    </row>
    <row r="124" spans="1:12" x14ac:dyDescent="0.25">
      <c r="A124" s="2">
        <v>45470</v>
      </c>
      <c r="B124" t="s">
        <v>848</v>
      </c>
      <c r="C124" t="s">
        <v>927</v>
      </c>
      <c r="D124" t="s">
        <v>884</v>
      </c>
      <c r="E124" s="5"/>
      <c r="F124" s="5"/>
      <c r="G124" s="5"/>
      <c r="H124" s="5"/>
      <c r="I124" s="5">
        <v>69.02</v>
      </c>
      <c r="J124" s="5"/>
      <c r="K124" s="5"/>
      <c r="L124" t="s">
        <v>68</v>
      </c>
    </row>
    <row r="125" spans="1:12" x14ac:dyDescent="0.25">
      <c r="A125" s="2">
        <v>45471</v>
      </c>
      <c r="B125" t="s">
        <v>976</v>
      </c>
      <c r="C125" t="s">
        <v>1044</v>
      </c>
      <c r="D125" t="s">
        <v>879</v>
      </c>
      <c r="E125" s="5"/>
      <c r="F125" s="5"/>
      <c r="G125" s="5"/>
      <c r="H125" s="5"/>
      <c r="I125" s="5">
        <v>49.3</v>
      </c>
      <c r="J125" s="5"/>
      <c r="K125" s="5"/>
      <c r="L125" t="s">
        <v>68</v>
      </c>
    </row>
    <row r="126" spans="1:12" x14ac:dyDescent="0.25">
      <c r="A126" s="2">
        <v>45491</v>
      </c>
      <c r="B126" t="s">
        <v>848</v>
      </c>
      <c r="C126" t="s">
        <v>928</v>
      </c>
      <c r="D126" t="s">
        <v>855</v>
      </c>
      <c r="E126" s="5"/>
      <c r="F126" s="5"/>
      <c r="G126" s="5"/>
      <c r="H126" s="5"/>
      <c r="I126" s="5">
        <v>137.41999999999999</v>
      </c>
      <c r="J126" s="5"/>
      <c r="K126" s="5"/>
      <c r="L126" t="s">
        <v>68</v>
      </c>
    </row>
    <row r="127" spans="1:12" x14ac:dyDescent="0.25">
      <c r="A127" s="2">
        <v>45491</v>
      </c>
      <c r="B127" t="s">
        <v>848</v>
      </c>
      <c r="C127" t="s">
        <v>929</v>
      </c>
      <c r="D127" t="s">
        <v>930</v>
      </c>
      <c r="E127" s="5"/>
      <c r="F127" s="5"/>
      <c r="G127" s="5"/>
      <c r="H127" s="5"/>
      <c r="I127" s="5">
        <v>1839.26</v>
      </c>
      <c r="J127" s="5"/>
      <c r="K127" s="5"/>
      <c r="L127" t="s">
        <v>68</v>
      </c>
    </row>
    <row r="128" spans="1:12" x14ac:dyDescent="0.25">
      <c r="A128" s="2">
        <v>45491</v>
      </c>
      <c r="B128" t="s">
        <v>848</v>
      </c>
      <c r="C128" t="s">
        <v>931</v>
      </c>
      <c r="D128" t="s">
        <v>932</v>
      </c>
      <c r="E128" s="5"/>
      <c r="F128" s="5"/>
      <c r="G128" s="5"/>
      <c r="H128" s="5"/>
      <c r="I128" s="5">
        <v>34.51</v>
      </c>
      <c r="J128" s="5"/>
      <c r="K128" s="5"/>
      <c r="L128" t="s">
        <v>68</v>
      </c>
    </row>
    <row r="129" spans="1:12" x14ac:dyDescent="0.25">
      <c r="A129" s="2">
        <v>45491</v>
      </c>
      <c r="B129" t="s">
        <v>848</v>
      </c>
      <c r="C129" t="s">
        <v>933</v>
      </c>
      <c r="D129" t="s">
        <v>884</v>
      </c>
      <c r="E129" s="5"/>
      <c r="F129" s="5"/>
      <c r="G129" s="5"/>
      <c r="H129" s="5"/>
      <c r="I129" s="5">
        <v>34.51</v>
      </c>
      <c r="J129" s="5"/>
      <c r="K129" s="5"/>
      <c r="L129" t="s">
        <v>68</v>
      </c>
    </row>
    <row r="130" spans="1:12" x14ac:dyDescent="0.25">
      <c r="A130" s="2">
        <v>45503</v>
      </c>
      <c r="B130" t="s">
        <v>976</v>
      </c>
      <c r="C130" t="s">
        <v>1045</v>
      </c>
      <c r="D130" t="s">
        <v>879</v>
      </c>
      <c r="E130" s="5"/>
      <c r="F130" s="5"/>
      <c r="G130" s="5"/>
      <c r="H130" s="5"/>
      <c r="I130" s="5">
        <v>77.5</v>
      </c>
      <c r="J130" s="5"/>
      <c r="K130" s="5"/>
      <c r="L130" t="s">
        <v>68</v>
      </c>
    </row>
    <row r="131" spans="1:12" x14ac:dyDescent="0.25">
      <c r="A131" s="2">
        <v>45503</v>
      </c>
      <c r="B131" t="s">
        <v>976</v>
      </c>
      <c r="C131" t="s">
        <v>1046</v>
      </c>
      <c r="D131" t="s">
        <v>879</v>
      </c>
      <c r="E131" s="5"/>
      <c r="F131" s="5"/>
      <c r="G131" s="5"/>
      <c r="H131" s="5"/>
      <c r="I131" s="5">
        <v>69.02</v>
      </c>
      <c r="J131" s="5"/>
      <c r="K131" s="5"/>
      <c r="L131" t="s">
        <v>68</v>
      </c>
    </row>
    <row r="132" spans="1:12" x14ac:dyDescent="0.25">
      <c r="A132" s="2">
        <v>45503</v>
      </c>
      <c r="B132" t="s">
        <v>848</v>
      </c>
      <c r="C132" t="s">
        <v>934</v>
      </c>
      <c r="D132" t="s">
        <v>930</v>
      </c>
      <c r="E132" s="5"/>
      <c r="F132" s="5"/>
      <c r="G132" s="5"/>
      <c r="H132" s="5"/>
      <c r="I132" s="5">
        <v>859.83</v>
      </c>
      <c r="J132" s="5"/>
      <c r="K132" s="5"/>
      <c r="L132" t="s">
        <v>68</v>
      </c>
    </row>
    <row r="133" spans="1:12" x14ac:dyDescent="0.25">
      <c r="A133" s="2">
        <v>45503</v>
      </c>
      <c r="B133" t="s">
        <v>848</v>
      </c>
      <c r="C133" t="s">
        <v>935</v>
      </c>
      <c r="D133" t="s">
        <v>930</v>
      </c>
      <c r="E133" s="5"/>
      <c r="F133" s="5"/>
      <c r="G133" s="5"/>
      <c r="H133" s="5"/>
      <c r="I133" s="5">
        <v>850.84</v>
      </c>
      <c r="J133" s="5"/>
      <c r="K133" s="5"/>
      <c r="L133" t="s">
        <v>68</v>
      </c>
    </row>
    <row r="134" spans="1:12" x14ac:dyDescent="0.25">
      <c r="A134" s="2">
        <v>45503</v>
      </c>
      <c r="B134" t="s">
        <v>848</v>
      </c>
      <c r="C134" t="s">
        <v>936</v>
      </c>
      <c r="D134" t="s">
        <v>884</v>
      </c>
      <c r="E134" s="5"/>
      <c r="F134" s="5"/>
      <c r="G134" s="5"/>
      <c r="H134" s="5"/>
      <c r="I134" s="5">
        <v>64.2</v>
      </c>
      <c r="J134" s="5"/>
      <c r="K134" s="5"/>
      <c r="L134" t="s">
        <v>68</v>
      </c>
    </row>
    <row r="135" spans="1:12" x14ac:dyDescent="0.25">
      <c r="A135" s="2">
        <v>45503</v>
      </c>
      <c r="B135" t="s">
        <v>848</v>
      </c>
      <c r="C135" t="s">
        <v>937</v>
      </c>
      <c r="D135" t="s">
        <v>853</v>
      </c>
      <c r="E135" s="5"/>
      <c r="F135" s="5"/>
      <c r="G135" s="5"/>
      <c r="H135" s="5"/>
      <c r="I135" s="5">
        <v>34.51</v>
      </c>
      <c r="J135" s="5"/>
      <c r="K135" s="5"/>
      <c r="L135" t="s">
        <v>68</v>
      </c>
    </row>
    <row r="136" spans="1:12" x14ac:dyDescent="0.25">
      <c r="A136" s="2">
        <v>45503</v>
      </c>
      <c r="B136" t="s">
        <v>976</v>
      </c>
      <c r="C136" t="s">
        <v>1047</v>
      </c>
      <c r="D136" t="s">
        <v>879</v>
      </c>
      <c r="E136" s="5"/>
      <c r="F136" s="5"/>
      <c r="G136" s="5"/>
      <c r="H136" s="5"/>
      <c r="I136" s="5">
        <v>143.74</v>
      </c>
      <c r="J136" s="5"/>
      <c r="K136" s="5"/>
      <c r="L136" t="s">
        <v>68</v>
      </c>
    </row>
    <row r="137" spans="1:12" x14ac:dyDescent="0.25">
      <c r="A137" s="2">
        <v>45503</v>
      </c>
      <c r="B137" t="s">
        <v>976</v>
      </c>
      <c r="C137" t="s">
        <v>1048</v>
      </c>
      <c r="D137" t="s">
        <v>879</v>
      </c>
      <c r="E137" s="5"/>
      <c r="F137" s="5"/>
      <c r="G137" s="5"/>
      <c r="H137" s="5"/>
      <c r="I137" s="5">
        <v>190.04</v>
      </c>
      <c r="J137" s="5"/>
      <c r="K137" s="5"/>
      <c r="L137" t="s">
        <v>68</v>
      </c>
    </row>
    <row r="138" spans="1:12" x14ac:dyDescent="0.25">
      <c r="A138" s="2">
        <v>45503</v>
      </c>
      <c r="B138" t="s">
        <v>848</v>
      </c>
      <c r="C138" t="s">
        <v>938</v>
      </c>
      <c r="D138" t="s">
        <v>914</v>
      </c>
      <c r="E138" s="5"/>
      <c r="F138" s="5"/>
      <c r="G138" s="5"/>
      <c r="H138" s="5"/>
      <c r="I138" s="5">
        <v>69.02</v>
      </c>
      <c r="J138" s="5"/>
      <c r="K138" s="5"/>
      <c r="L138" t="s">
        <v>68</v>
      </c>
    </row>
    <row r="139" spans="1:12" x14ac:dyDescent="0.25">
      <c r="A139" s="2">
        <v>45503</v>
      </c>
      <c r="B139" t="s">
        <v>848</v>
      </c>
      <c r="C139" t="s">
        <v>939</v>
      </c>
      <c r="D139" t="s">
        <v>884</v>
      </c>
      <c r="E139" s="5"/>
      <c r="F139" s="5"/>
      <c r="G139" s="5"/>
      <c r="H139" s="5"/>
      <c r="I139" s="5">
        <v>69.02</v>
      </c>
      <c r="J139" s="5"/>
      <c r="K139" s="5"/>
      <c r="L139" t="s">
        <v>68</v>
      </c>
    </row>
    <row r="140" spans="1:12" x14ac:dyDescent="0.25">
      <c r="A140" s="2">
        <v>45503</v>
      </c>
      <c r="B140" t="s">
        <v>848</v>
      </c>
      <c r="C140" t="s">
        <v>940</v>
      </c>
      <c r="D140" t="s">
        <v>853</v>
      </c>
      <c r="E140" s="5"/>
      <c r="F140" s="5"/>
      <c r="G140" s="5"/>
      <c r="H140" s="5"/>
      <c r="I140" s="5">
        <v>835.51</v>
      </c>
      <c r="J140" s="5"/>
      <c r="K140" s="5"/>
      <c r="L140" t="s">
        <v>68</v>
      </c>
    </row>
    <row r="141" spans="1:12" x14ac:dyDescent="0.25">
      <c r="A141" s="2">
        <v>45503</v>
      </c>
      <c r="B141" t="s">
        <v>848</v>
      </c>
      <c r="C141" t="s">
        <v>941</v>
      </c>
      <c r="D141" t="s">
        <v>855</v>
      </c>
      <c r="E141" s="5"/>
      <c r="F141" s="5"/>
      <c r="G141" s="5"/>
      <c r="H141" s="5"/>
      <c r="I141" s="5">
        <v>118.2</v>
      </c>
      <c r="J141" s="5"/>
      <c r="K141" s="5"/>
      <c r="L141" t="s">
        <v>68</v>
      </c>
    </row>
    <row r="142" spans="1:12" x14ac:dyDescent="0.25">
      <c r="A142" s="2">
        <v>45503</v>
      </c>
      <c r="B142" t="s">
        <v>848</v>
      </c>
      <c r="C142" t="s">
        <v>942</v>
      </c>
      <c r="D142" t="s">
        <v>853</v>
      </c>
      <c r="E142" s="5"/>
      <c r="F142" s="5"/>
      <c r="G142" s="5"/>
      <c r="H142" s="5"/>
      <c r="I142" s="5">
        <v>34.51</v>
      </c>
      <c r="J142" s="5"/>
      <c r="K142" s="5"/>
      <c r="L142" t="s">
        <v>68</v>
      </c>
    </row>
    <row r="143" spans="1:12" x14ac:dyDescent="0.25">
      <c r="A143" s="2">
        <v>45504</v>
      </c>
      <c r="B143" t="s">
        <v>848</v>
      </c>
      <c r="C143" t="s">
        <v>943</v>
      </c>
      <c r="D143" t="s">
        <v>853</v>
      </c>
      <c r="E143" s="5"/>
      <c r="F143" s="5"/>
      <c r="G143" s="5"/>
      <c r="H143" s="5"/>
      <c r="I143" s="5">
        <v>102.36</v>
      </c>
      <c r="J143" s="5"/>
      <c r="K143" s="5"/>
      <c r="L143" t="s">
        <v>68</v>
      </c>
    </row>
    <row r="144" spans="1:12" x14ac:dyDescent="0.25">
      <c r="A144" s="2">
        <v>45517</v>
      </c>
      <c r="B144" t="s">
        <v>976</v>
      </c>
      <c r="C144" t="s">
        <v>1049</v>
      </c>
      <c r="D144" t="s">
        <v>879</v>
      </c>
      <c r="E144" s="5"/>
      <c r="F144" s="5"/>
      <c r="G144" s="5"/>
      <c r="H144" s="5"/>
      <c r="I144" s="5">
        <v>35.14</v>
      </c>
      <c r="J144" s="5"/>
      <c r="K144" s="5"/>
      <c r="L144" t="s">
        <v>68</v>
      </c>
    </row>
    <row r="145" spans="1:12" x14ac:dyDescent="0.25">
      <c r="A145" s="2">
        <v>45517</v>
      </c>
      <c r="B145" t="s">
        <v>976</v>
      </c>
      <c r="C145" t="s">
        <v>1050</v>
      </c>
      <c r="D145" t="s">
        <v>967</v>
      </c>
      <c r="E145" s="5"/>
      <c r="F145" s="5"/>
      <c r="G145" s="5"/>
      <c r="H145" s="5"/>
      <c r="I145" s="5">
        <v>761.99</v>
      </c>
      <c r="J145" s="5"/>
      <c r="K145" s="5"/>
      <c r="L145" t="s">
        <v>68</v>
      </c>
    </row>
    <row r="146" spans="1:12" x14ac:dyDescent="0.25">
      <c r="A146" s="2">
        <v>45517</v>
      </c>
      <c r="B146" t="s">
        <v>976</v>
      </c>
      <c r="C146" t="s">
        <v>1051</v>
      </c>
      <c r="D146" t="s">
        <v>879</v>
      </c>
      <c r="E146" s="5"/>
      <c r="F146" s="5"/>
      <c r="G146" s="5"/>
      <c r="H146" s="5"/>
      <c r="I146" s="5">
        <v>98.06</v>
      </c>
      <c r="J146" s="5"/>
      <c r="K146" s="5"/>
      <c r="L146" t="s">
        <v>68</v>
      </c>
    </row>
    <row r="147" spans="1:12" x14ac:dyDescent="0.25">
      <c r="A147" s="2">
        <v>45517</v>
      </c>
      <c r="B147" t="s">
        <v>976</v>
      </c>
      <c r="C147" t="s">
        <v>1052</v>
      </c>
      <c r="D147" t="s">
        <v>879</v>
      </c>
      <c r="E147" s="5"/>
      <c r="F147" s="5"/>
      <c r="G147" s="5"/>
      <c r="H147" s="5"/>
      <c r="I147" s="5">
        <v>70.7</v>
      </c>
      <c r="J147" s="5"/>
      <c r="K147" s="5"/>
      <c r="L147" t="s">
        <v>68</v>
      </c>
    </row>
    <row r="148" spans="1:12" x14ac:dyDescent="0.25">
      <c r="A148" s="2">
        <v>45517</v>
      </c>
      <c r="B148" t="s">
        <v>848</v>
      </c>
      <c r="C148" t="s">
        <v>944</v>
      </c>
      <c r="D148" t="s">
        <v>945</v>
      </c>
      <c r="E148" s="5"/>
      <c r="F148" s="5"/>
      <c r="G148" s="5"/>
      <c r="H148" s="5"/>
      <c r="I148" s="5">
        <v>167.99</v>
      </c>
      <c r="J148" s="5"/>
      <c r="K148" s="5"/>
      <c r="L148" t="s">
        <v>68</v>
      </c>
    </row>
    <row r="149" spans="1:12" x14ac:dyDescent="0.25">
      <c r="A149" s="2">
        <v>45517</v>
      </c>
      <c r="B149" t="s">
        <v>848</v>
      </c>
      <c r="C149" t="s">
        <v>946</v>
      </c>
      <c r="D149" t="s">
        <v>855</v>
      </c>
      <c r="E149" s="5"/>
      <c r="F149" s="5"/>
      <c r="G149" s="5"/>
      <c r="H149" s="5"/>
      <c r="I149" s="5">
        <v>76.53</v>
      </c>
      <c r="J149" s="5"/>
      <c r="K149" s="5"/>
      <c r="L149" t="s">
        <v>68</v>
      </c>
    </row>
    <row r="150" spans="1:12" x14ac:dyDescent="0.25">
      <c r="A150" s="2">
        <v>45517</v>
      </c>
      <c r="B150" t="s">
        <v>848</v>
      </c>
      <c r="C150" t="s">
        <v>947</v>
      </c>
      <c r="D150" t="s">
        <v>853</v>
      </c>
      <c r="E150" s="5"/>
      <c r="F150" s="5"/>
      <c r="G150" s="5"/>
      <c r="H150" s="5"/>
      <c r="I150" s="5">
        <v>113.37</v>
      </c>
      <c r="J150" s="5"/>
      <c r="K150" s="5"/>
      <c r="L150" t="s">
        <v>68</v>
      </c>
    </row>
    <row r="151" spans="1:12" x14ac:dyDescent="0.25">
      <c r="A151" s="2">
        <v>45526</v>
      </c>
      <c r="B151" t="s">
        <v>976</v>
      </c>
      <c r="C151" t="s">
        <v>1053</v>
      </c>
      <c r="D151" t="s">
        <v>879</v>
      </c>
      <c r="E151" s="5"/>
      <c r="F151" s="5"/>
      <c r="G151" s="5"/>
      <c r="H151" s="5"/>
      <c r="I151" s="5">
        <v>69.02</v>
      </c>
      <c r="J151" s="5"/>
      <c r="K151" s="5"/>
      <c r="L151" t="s">
        <v>68</v>
      </c>
    </row>
    <row r="152" spans="1:12" x14ac:dyDescent="0.25">
      <c r="A152" s="2">
        <v>45526</v>
      </c>
      <c r="B152" t="s">
        <v>848</v>
      </c>
      <c r="C152" t="s">
        <v>948</v>
      </c>
      <c r="D152" t="s">
        <v>855</v>
      </c>
      <c r="E152" s="5"/>
      <c r="F152" s="5"/>
      <c r="G152" s="5"/>
      <c r="H152" s="5"/>
      <c r="I152" s="5">
        <v>91.15</v>
      </c>
      <c r="J152" s="5"/>
      <c r="K152" s="5"/>
      <c r="L152" t="s">
        <v>68</v>
      </c>
    </row>
    <row r="153" spans="1:12" x14ac:dyDescent="0.25">
      <c r="A153" s="2">
        <v>45526</v>
      </c>
      <c r="B153" t="s">
        <v>976</v>
      </c>
      <c r="C153" t="s">
        <v>1054</v>
      </c>
      <c r="D153" t="s">
        <v>879</v>
      </c>
      <c r="E153" s="5"/>
      <c r="F153" s="5"/>
      <c r="G153" s="5"/>
      <c r="H153" s="5"/>
      <c r="I153" s="5">
        <v>82.12</v>
      </c>
      <c r="J153" s="5"/>
      <c r="K153" s="5"/>
      <c r="L153" t="s">
        <v>68</v>
      </c>
    </row>
    <row r="154" spans="1:12" x14ac:dyDescent="0.25">
      <c r="A154" s="2">
        <v>45526</v>
      </c>
      <c r="B154" t="s">
        <v>848</v>
      </c>
      <c r="C154" t="s">
        <v>949</v>
      </c>
      <c r="D154" t="s">
        <v>853</v>
      </c>
      <c r="E154" s="5"/>
      <c r="F154" s="5"/>
      <c r="G154" s="5"/>
      <c r="H154" s="5"/>
      <c r="I154" s="5">
        <v>34.51</v>
      </c>
      <c r="J154" s="5"/>
      <c r="K154" s="5"/>
      <c r="L154" t="s">
        <v>68</v>
      </c>
    </row>
    <row r="155" spans="1:12" x14ac:dyDescent="0.25">
      <c r="A155" s="2">
        <v>45526</v>
      </c>
      <c r="B155" t="s">
        <v>848</v>
      </c>
      <c r="C155" t="s">
        <v>950</v>
      </c>
      <c r="D155" t="s">
        <v>884</v>
      </c>
      <c r="E155" s="5"/>
      <c r="F155" s="5"/>
      <c r="G155" s="5"/>
      <c r="H155" s="5"/>
      <c r="I155" s="5">
        <v>471.57</v>
      </c>
      <c r="J155" s="5"/>
      <c r="K155" s="5"/>
      <c r="L155" t="s">
        <v>68</v>
      </c>
    </row>
    <row r="156" spans="1:12" x14ac:dyDescent="0.25">
      <c r="A156" s="2">
        <v>45533</v>
      </c>
      <c r="B156" t="s">
        <v>976</v>
      </c>
      <c r="C156" t="s">
        <v>1055</v>
      </c>
      <c r="D156" t="s">
        <v>879</v>
      </c>
      <c r="E156" s="5"/>
      <c r="F156" s="5"/>
      <c r="G156" s="5"/>
      <c r="H156" s="5"/>
      <c r="I156" s="5">
        <v>101.46</v>
      </c>
      <c r="J156" s="5"/>
      <c r="K156" s="5"/>
      <c r="L156" t="s">
        <v>68</v>
      </c>
    </row>
    <row r="157" spans="1:12" x14ac:dyDescent="0.25">
      <c r="A157" s="2">
        <v>45533</v>
      </c>
      <c r="B157" t="s">
        <v>976</v>
      </c>
      <c r="C157" t="s">
        <v>1056</v>
      </c>
      <c r="D157" t="s">
        <v>879</v>
      </c>
      <c r="E157" s="5"/>
      <c r="F157" s="5"/>
      <c r="G157" s="5"/>
      <c r="H157" s="5"/>
      <c r="I157" s="5">
        <v>54</v>
      </c>
      <c r="J157" s="5"/>
      <c r="K157" s="5"/>
      <c r="L157" t="s">
        <v>68</v>
      </c>
    </row>
    <row r="158" spans="1:12" x14ac:dyDescent="0.25">
      <c r="A158" s="2">
        <v>45533</v>
      </c>
      <c r="B158" t="s">
        <v>848</v>
      </c>
      <c r="C158" t="s">
        <v>951</v>
      </c>
      <c r="D158" t="s">
        <v>853</v>
      </c>
      <c r="E158" s="5"/>
      <c r="F158" s="5"/>
      <c r="G158" s="5"/>
      <c r="H158" s="5"/>
      <c r="I158" s="5">
        <v>69.02</v>
      </c>
      <c r="J158" s="5"/>
      <c r="K158" s="5"/>
      <c r="L158" t="s">
        <v>68</v>
      </c>
    </row>
    <row r="159" spans="1:12" x14ac:dyDescent="0.25">
      <c r="A159" s="2">
        <v>45533</v>
      </c>
      <c r="B159" t="s">
        <v>848</v>
      </c>
      <c r="C159" t="s">
        <v>952</v>
      </c>
      <c r="D159" t="s">
        <v>853</v>
      </c>
      <c r="E159" s="5"/>
      <c r="F159" s="5"/>
      <c r="G159" s="5"/>
      <c r="H159" s="5"/>
      <c r="I159" s="5">
        <v>2760.8</v>
      </c>
      <c r="J159" s="5"/>
      <c r="K159" s="5"/>
      <c r="L159" t="s">
        <v>68</v>
      </c>
    </row>
    <row r="160" spans="1:12" x14ac:dyDescent="0.25">
      <c r="A160" s="2">
        <v>45533</v>
      </c>
      <c r="B160" t="s">
        <v>848</v>
      </c>
      <c r="C160" t="s">
        <v>953</v>
      </c>
      <c r="D160" t="s">
        <v>954</v>
      </c>
      <c r="E160" s="5"/>
      <c r="F160" s="5"/>
      <c r="G160" s="5"/>
      <c r="H160" s="5"/>
      <c r="I160" s="5">
        <v>34.51</v>
      </c>
      <c r="J160" s="5"/>
      <c r="K160" s="5"/>
      <c r="L160" t="s">
        <v>68</v>
      </c>
    </row>
    <row r="161" spans="1:12" x14ac:dyDescent="0.25">
      <c r="A161" s="2">
        <v>45555</v>
      </c>
      <c r="B161" t="s">
        <v>976</v>
      </c>
      <c r="C161" t="s">
        <v>1057</v>
      </c>
      <c r="D161" t="s">
        <v>879</v>
      </c>
      <c r="E161" s="5"/>
      <c r="F161" s="5"/>
      <c r="G161" s="5"/>
      <c r="H161" s="5"/>
      <c r="I161" s="5">
        <v>88.83</v>
      </c>
      <c r="J161" s="5"/>
      <c r="K161" s="5"/>
      <c r="L161" t="s">
        <v>68</v>
      </c>
    </row>
    <row r="162" spans="1:12" x14ac:dyDescent="0.25">
      <c r="A162" s="2">
        <v>45555</v>
      </c>
      <c r="B162" t="s">
        <v>848</v>
      </c>
      <c r="C162" t="s">
        <v>955</v>
      </c>
      <c r="D162" t="s">
        <v>884</v>
      </c>
      <c r="E162" s="5"/>
      <c r="F162" s="5"/>
      <c r="G162" s="5"/>
      <c r="H162" s="5"/>
      <c r="I162" s="5">
        <v>261.73</v>
      </c>
      <c r="J162" s="5"/>
      <c r="K162" s="5"/>
      <c r="L162" t="s">
        <v>68</v>
      </c>
    </row>
    <row r="163" spans="1:12" x14ac:dyDescent="0.25">
      <c r="A163" s="2">
        <v>45560</v>
      </c>
      <c r="B163" t="s">
        <v>976</v>
      </c>
      <c r="C163" t="s">
        <v>1058</v>
      </c>
      <c r="D163" t="s">
        <v>879</v>
      </c>
      <c r="E163" s="5"/>
      <c r="F163" s="5"/>
      <c r="G163" s="5"/>
      <c r="H163" s="5"/>
      <c r="I163" s="5">
        <v>154.88</v>
      </c>
      <c r="J163" s="5"/>
      <c r="K163" s="5"/>
      <c r="L163" t="s">
        <v>68</v>
      </c>
    </row>
    <row r="164" spans="1:12" x14ac:dyDescent="0.25">
      <c r="A164" s="2">
        <v>45560</v>
      </c>
      <c r="B164" t="s">
        <v>848</v>
      </c>
      <c r="C164" t="s">
        <v>956</v>
      </c>
      <c r="D164" t="s">
        <v>853</v>
      </c>
      <c r="E164" s="5"/>
      <c r="F164" s="5"/>
      <c r="G164" s="5"/>
      <c r="H164" s="5"/>
      <c r="I164" s="5">
        <v>314.08999999999997</v>
      </c>
      <c r="J164" s="5"/>
      <c r="K164" s="5"/>
      <c r="L164" t="s">
        <v>68</v>
      </c>
    </row>
    <row r="165" spans="1:12" x14ac:dyDescent="0.25">
      <c r="A165" s="2">
        <v>45560</v>
      </c>
      <c r="B165" t="s">
        <v>848</v>
      </c>
      <c r="C165" t="s">
        <v>957</v>
      </c>
      <c r="D165" t="s">
        <v>884</v>
      </c>
      <c r="E165" s="5"/>
      <c r="F165" s="5"/>
      <c r="G165" s="5"/>
      <c r="H165" s="5"/>
      <c r="I165" s="5">
        <v>73.349999999999994</v>
      </c>
      <c r="J165" s="5"/>
      <c r="K165" s="5"/>
      <c r="L165" t="s">
        <v>68</v>
      </c>
    </row>
    <row r="166" spans="1:12" x14ac:dyDescent="0.25">
      <c r="A166" s="2">
        <v>45560</v>
      </c>
      <c r="B166" t="s">
        <v>848</v>
      </c>
      <c r="C166" t="s">
        <v>958</v>
      </c>
      <c r="D166" t="s">
        <v>884</v>
      </c>
      <c r="E166" s="5"/>
      <c r="F166" s="5"/>
      <c r="G166" s="5"/>
      <c r="H166" s="5"/>
      <c r="I166" s="5">
        <v>124.21</v>
      </c>
      <c r="J166" s="5"/>
      <c r="K166" s="5"/>
      <c r="L166" t="s">
        <v>68</v>
      </c>
    </row>
    <row r="167" spans="1:12" x14ac:dyDescent="0.25">
      <c r="A167" s="2">
        <v>45574</v>
      </c>
      <c r="B167" t="s">
        <v>848</v>
      </c>
      <c r="C167" t="s">
        <v>959</v>
      </c>
      <c r="D167" t="s">
        <v>960</v>
      </c>
      <c r="E167" s="5"/>
      <c r="F167" s="5"/>
      <c r="G167" s="5"/>
      <c r="H167" s="5"/>
      <c r="I167" s="5">
        <v>34.51</v>
      </c>
      <c r="J167" s="5"/>
      <c r="K167" s="5"/>
      <c r="L167" t="s">
        <v>68</v>
      </c>
    </row>
    <row r="168" spans="1:12" x14ac:dyDescent="0.25">
      <c r="A168" s="2">
        <v>45574</v>
      </c>
      <c r="B168" t="s">
        <v>848</v>
      </c>
      <c r="C168" t="s">
        <v>961</v>
      </c>
      <c r="D168" t="s">
        <v>853</v>
      </c>
      <c r="E168" s="5"/>
      <c r="F168" s="5"/>
      <c r="G168" s="5"/>
      <c r="H168" s="5"/>
      <c r="I168" s="5">
        <v>139.5</v>
      </c>
      <c r="J168" s="5"/>
      <c r="K168" s="5"/>
      <c r="L168" t="s">
        <v>68</v>
      </c>
    </row>
    <row r="169" spans="1:12" x14ac:dyDescent="0.25">
      <c r="A169" s="2">
        <v>45574</v>
      </c>
      <c r="B169" t="s">
        <v>848</v>
      </c>
      <c r="C169" t="s">
        <v>962</v>
      </c>
      <c r="D169" t="s">
        <v>853</v>
      </c>
      <c r="E169" s="5"/>
      <c r="F169" s="5"/>
      <c r="G169" s="5"/>
      <c r="H169" s="5"/>
      <c r="I169" s="5">
        <v>1189.24</v>
      </c>
      <c r="J169" s="5"/>
      <c r="K169" s="5"/>
      <c r="L169" t="s">
        <v>68</v>
      </c>
    </row>
    <row r="170" spans="1:12" x14ac:dyDescent="0.25">
      <c r="A170" s="2">
        <v>45574</v>
      </c>
      <c r="B170" t="s">
        <v>848</v>
      </c>
      <c r="C170" t="s">
        <v>963</v>
      </c>
      <c r="D170" t="s">
        <v>884</v>
      </c>
      <c r="E170" s="5"/>
      <c r="F170" s="5"/>
      <c r="G170" s="5"/>
      <c r="H170" s="5"/>
      <c r="I170" s="5">
        <v>69.02</v>
      </c>
      <c r="J170" s="5"/>
      <c r="K170" s="5"/>
      <c r="L170" t="s">
        <v>68</v>
      </c>
    </row>
    <row r="171" spans="1:12" x14ac:dyDescent="0.25">
      <c r="A171" s="2">
        <v>45574</v>
      </c>
      <c r="B171" t="s">
        <v>848</v>
      </c>
      <c r="C171" t="s">
        <v>964</v>
      </c>
      <c r="D171" t="s">
        <v>855</v>
      </c>
      <c r="E171" s="5"/>
      <c r="F171" s="5"/>
      <c r="G171" s="5"/>
      <c r="H171" s="5"/>
      <c r="I171" s="5">
        <v>78.05</v>
      </c>
      <c r="J171" s="5"/>
      <c r="K171" s="5"/>
      <c r="L171" t="s">
        <v>68</v>
      </c>
    </row>
    <row r="172" spans="1:12" x14ac:dyDescent="0.25">
      <c r="A172" s="2">
        <v>45574</v>
      </c>
      <c r="B172" t="s">
        <v>848</v>
      </c>
      <c r="C172" t="s">
        <v>965</v>
      </c>
      <c r="D172" t="s">
        <v>853</v>
      </c>
      <c r="E172" s="5"/>
      <c r="F172" s="5"/>
      <c r="G172" s="5"/>
      <c r="H172" s="5"/>
      <c r="I172" s="5">
        <v>262.22000000000003</v>
      </c>
      <c r="J172" s="5"/>
      <c r="K172" s="5"/>
      <c r="L172" t="s">
        <v>68</v>
      </c>
    </row>
    <row r="173" spans="1:12" x14ac:dyDescent="0.25">
      <c r="A173" s="2">
        <v>45625</v>
      </c>
      <c r="B173" t="s">
        <v>976</v>
      </c>
      <c r="C173" t="s">
        <v>1059</v>
      </c>
      <c r="D173" t="s">
        <v>879</v>
      </c>
      <c r="E173" s="5"/>
      <c r="F173" s="5"/>
      <c r="G173" s="5"/>
      <c r="H173" s="5"/>
      <c r="I173" s="5">
        <v>69.02</v>
      </c>
      <c r="J173" s="5"/>
      <c r="K173" s="5"/>
      <c r="L173" t="s">
        <v>68</v>
      </c>
    </row>
    <row r="174" spans="1:12" x14ac:dyDescent="0.25">
      <c r="A174" s="2">
        <v>45624</v>
      </c>
      <c r="B174" t="s">
        <v>976</v>
      </c>
      <c r="C174" t="s">
        <v>1060</v>
      </c>
      <c r="D174" t="s">
        <v>879</v>
      </c>
      <c r="E174" s="5"/>
      <c r="F174" s="5"/>
      <c r="G174" s="5"/>
      <c r="H174" s="5"/>
      <c r="I174" s="5">
        <v>82.17</v>
      </c>
      <c r="J174" s="5"/>
      <c r="K174" s="5"/>
      <c r="L174" t="s">
        <v>68</v>
      </c>
    </row>
    <row r="175" spans="1:12" x14ac:dyDescent="0.25">
      <c r="A175" s="2">
        <v>45624</v>
      </c>
      <c r="B175" t="s">
        <v>848</v>
      </c>
      <c r="C175" t="s">
        <v>1073</v>
      </c>
      <c r="D175" t="s">
        <v>967</v>
      </c>
      <c r="E175" s="5"/>
      <c r="F175" s="5"/>
      <c r="G175" s="5"/>
      <c r="H175" s="5"/>
      <c r="I175" s="5">
        <v>69.02</v>
      </c>
      <c r="J175" s="5"/>
      <c r="K175" s="5"/>
      <c r="L175" t="s">
        <v>68</v>
      </c>
    </row>
    <row r="176" spans="1:12" x14ac:dyDescent="0.25">
      <c r="A176" s="2">
        <v>45624</v>
      </c>
      <c r="B176" t="s">
        <v>848</v>
      </c>
      <c r="C176" t="s">
        <v>966</v>
      </c>
      <c r="D176" t="s">
        <v>884</v>
      </c>
      <c r="E176" s="5"/>
      <c r="F176" s="5"/>
      <c r="G176" s="5"/>
      <c r="H176" s="5"/>
      <c r="J176" s="5"/>
      <c r="K176" s="5">
        <v>3526.11</v>
      </c>
      <c r="L176" t="s">
        <v>68</v>
      </c>
    </row>
    <row r="177" spans="1:12" x14ac:dyDescent="0.25">
      <c r="A177" s="2">
        <v>45638</v>
      </c>
      <c r="B177" t="s">
        <v>848</v>
      </c>
      <c r="C177" t="s">
        <v>970</v>
      </c>
      <c r="D177" t="s">
        <v>853</v>
      </c>
      <c r="E177" s="5"/>
      <c r="F177" s="5"/>
      <c r="G177" s="5"/>
      <c r="H177" s="5"/>
      <c r="I177" s="5">
        <v>172.31</v>
      </c>
      <c r="J177" s="5"/>
      <c r="K177" s="5"/>
      <c r="L177" t="s">
        <v>68</v>
      </c>
    </row>
    <row r="178" spans="1:12" x14ac:dyDescent="0.25">
      <c r="A178" s="2">
        <v>45638</v>
      </c>
      <c r="B178" t="s">
        <v>976</v>
      </c>
      <c r="C178" t="s">
        <v>1061</v>
      </c>
      <c r="D178" t="s">
        <v>879</v>
      </c>
      <c r="E178" s="5"/>
      <c r="F178" s="5"/>
      <c r="G178" s="5"/>
      <c r="H178" s="5"/>
      <c r="I178" s="5"/>
      <c r="J178" s="5"/>
      <c r="K178" s="5"/>
      <c r="L178" t="s">
        <v>68</v>
      </c>
    </row>
    <row r="179" spans="1:12" x14ac:dyDescent="0.25">
      <c r="A179" s="2">
        <v>45638</v>
      </c>
      <c r="B179" t="s">
        <v>848</v>
      </c>
      <c r="C179" t="s">
        <v>971</v>
      </c>
      <c r="D179" t="s">
        <v>853</v>
      </c>
      <c r="E179" s="5"/>
      <c r="F179" s="5"/>
      <c r="G179" s="5"/>
      <c r="H179" s="5"/>
      <c r="I179" s="5">
        <v>34.51</v>
      </c>
      <c r="J179" s="5"/>
      <c r="K179" s="5"/>
      <c r="L179" t="s">
        <v>68</v>
      </c>
    </row>
    <row r="180" spans="1:12" x14ac:dyDescent="0.25">
      <c r="A180" s="2">
        <v>45638</v>
      </c>
      <c r="B180" t="s">
        <v>848</v>
      </c>
      <c r="C180" t="s">
        <v>971</v>
      </c>
      <c r="D180" t="s">
        <v>853</v>
      </c>
      <c r="E180" s="5"/>
      <c r="F180" s="5"/>
      <c r="G180" s="5"/>
      <c r="H180" s="5"/>
      <c r="I180" s="5">
        <v>69.02</v>
      </c>
      <c r="J180" s="5"/>
      <c r="K180" s="5"/>
      <c r="L180" t="s">
        <v>68</v>
      </c>
    </row>
    <row r="181" spans="1:12" x14ac:dyDescent="0.25">
      <c r="A181" s="2">
        <v>45321</v>
      </c>
      <c r="B181" t="s">
        <v>976</v>
      </c>
      <c r="C181" t="s">
        <v>1062</v>
      </c>
      <c r="D181" t="s">
        <v>879</v>
      </c>
      <c r="E181" s="5"/>
      <c r="F181" s="5"/>
      <c r="G181" s="5">
        <v>595.01</v>
      </c>
      <c r="H181" s="5"/>
      <c r="I181" s="5"/>
      <c r="J181" s="5"/>
      <c r="K181" s="5"/>
      <c r="L181" t="s">
        <v>790</v>
      </c>
    </row>
    <row r="182" spans="1:12" x14ac:dyDescent="0.25">
      <c r="A182" s="2">
        <v>45351</v>
      </c>
      <c r="B182" t="s">
        <v>976</v>
      </c>
      <c r="C182" t="s">
        <v>1063</v>
      </c>
      <c r="D182" t="s">
        <v>879</v>
      </c>
      <c r="E182" s="5"/>
      <c r="F182" s="5"/>
      <c r="G182" s="5">
        <v>348.27</v>
      </c>
      <c r="H182" s="5"/>
      <c r="I182" s="5"/>
      <c r="J182" s="5"/>
      <c r="K182" s="5"/>
      <c r="L182" t="s">
        <v>790</v>
      </c>
    </row>
    <row r="183" spans="1:12" x14ac:dyDescent="0.25">
      <c r="A183" s="2">
        <v>45378</v>
      </c>
      <c r="B183" t="s">
        <v>976</v>
      </c>
      <c r="C183" t="s">
        <v>1064</v>
      </c>
      <c r="D183" t="s">
        <v>879</v>
      </c>
      <c r="E183" s="5"/>
      <c r="F183" s="5"/>
      <c r="G183" s="5">
        <v>684.97</v>
      </c>
      <c r="H183" s="5"/>
      <c r="I183" s="5"/>
      <c r="J183" s="5"/>
      <c r="K183" s="5"/>
      <c r="L183" t="s">
        <v>790</v>
      </c>
    </row>
    <row r="184" spans="1:12" x14ac:dyDescent="0.25">
      <c r="A184" s="2">
        <v>45440</v>
      </c>
      <c r="B184" t="s">
        <v>976</v>
      </c>
      <c r="C184" t="s">
        <v>1065</v>
      </c>
      <c r="D184" t="s">
        <v>879</v>
      </c>
      <c r="E184" s="5"/>
      <c r="F184" s="5"/>
      <c r="G184" s="5">
        <v>703.69</v>
      </c>
      <c r="H184" s="5"/>
      <c r="I184" s="5"/>
      <c r="J184" s="5"/>
      <c r="K184" s="5"/>
      <c r="L184" t="s">
        <v>790</v>
      </c>
    </row>
    <row r="185" spans="1:12" x14ac:dyDescent="0.25">
      <c r="A185" s="2">
        <v>45471</v>
      </c>
      <c r="B185" t="s">
        <v>976</v>
      </c>
      <c r="C185" t="s">
        <v>1066</v>
      </c>
      <c r="D185" t="s">
        <v>1067</v>
      </c>
      <c r="E185" s="5"/>
      <c r="F185" s="5"/>
      <c r="G185" s="5">
        <v>204.1</v>
      </c>
      <c r="H185" s="5"/>
      <c r="I185" s="5"/>
      <c r="J185" s="5"/>
      <c r="K185" s="5"/>
      <c r="L185" t="s">
        <v>790</v>
      </c>
    </row>
    <row r="186" spans="1:12" x14ac:dyDescent="0.25">
      <c r="A186" s="2">
        <v>45503</v>
      </c>
      <c r="B186" t="s">
        <v>848</v>
      </c>
      <c r="C186" t="s">
        <v>972</v>
      </c>
      <c r="D186" t="s">
        <v>973</v>
      </c>
      <c r="E186" s="5"/>
      <c r="F186" s="5"/>
      <c r="G186" s="5">
        <v>1815.45</v>
      </c>
      <c r="H186" s="5"/>
      <c r="I186" s="5"/>
      <c r="J186" s="5"/>
      <c r="K186" s="5"/>
      <c r="L186" t="s">
        <v>790</v>
      </c>
    </row>
    <row r="187" spans="1:12" x14ac:dyDescent="0.25">
      <c r="A187" s="2">
        <v>45541</v>
      </c>
      <c r="B187" t="s">
        <v>976</v>
      </c>
      <c r="C187" t="s">
        <v>1068</v>
      </c>
      <c r="D187" t="s">
        <v>1067</v>
      </c>
      <c r="E187" s="5"/>
      <c r="F187" s="5"/>
      <c r="G187" s="5">
        <v>410.8</v>
      </c>
      <c r="H187" s="5"/>
      <c r="I187" s="5"/>
      <c r="J187" s="5"/>
      <c r="K187" s="5"/>
      <c r="L187" t="s">
        <v>790</v>
      </c>
    </row>
    <row r="188" spans="1:12" x14ac:dyDescent="0.25">
      <c r="A188" s="2">
        <v>45562</v>
      </c>
      <c r="B188" t="s">
        <v>976</v>
      </c>
      <c r="C188" t="s">
        <v>1069</v>
      </c>
      <c r="D188" t="s">
        <v>1067</v>
      </c>
      <c r="E188" s="5"/>
      <c r="F188" s="5"/>
      <c r="G188" s="5">
        <v>371.8</v>
      </c>
      <c r="H188" s="5"/>
      <c r="I188" s="5"/>
      <c r="J188" s="5"/>
      <c r="K188" s="5"/>
      <c r="L188" t="s">
        <v>790</v>
      </c>
    </row>
    <row r="189" spans="1:12" x14ac:dyDescent="0.25">
      <c r="A189" s="2">
        <v>45561</v>
      </c>
      <c r="B189" t="s">
        <v>976</v>
      </c>
      <c r="C189" t="s">
        <v>1070</v>
      </c>
      <c r="E189" s="5">
        <v>174.81</v>
      </c>
      <c r="F189" s="5"/>
      <c r="H189" s="5"/>
      <c r="I189" s="5"/>
      <c r="J189" s="5"/>
      <c r="K189" s="5"/>
      <c r="L189" t="s">
        <v>1071</v>
      </c>
    </row>
    <row r="190" spans="1:12" x14ac:dyDescent="0.25">
      <c r="A190" s="2">
        <v>45434</v>
      </c>
      <c r="B190" t="s">
        <v>976</v>
      </c>
      <c r="C190" t="s">
        <v>1072</v>
      </c>
      <c r="E190" s="5">
        <v>691.88</v>
      </c>
      <c r="F190" s="5"/>
      <c r="G190" s="5"/>
      <c r="H190" s="5"/>
      <c r="I190" s="5"/>
      <c r="J190" s="5"/>
      <c r="K190" s="5"/>
      <c r="L190" t="s">
        <v>1007</v>
      </c>
    </row>
    <row r="191" spans="1:12" x14ac:dyDescent="0.25">
      <c r="A191" s="2"/>
      <c r="E191" s="5"/>
      <c r="F191" s="5"/>
      <c r="G191" s="5"/>
      <c r="H191" s="5"/>
      <c r="I191" s="5"/>
      <c r="J191" s="5"/>
      <c r="K191" s="5"/>
    </row>
    <row r="192" spans="1:12" x14ac:dyDescent="0.25">
      <c r="A192" s="2"/>
      <c r="E192" s="5"/>
      <c r="F192" s="5"/>
      <c r="G192" s="5"/>
      <c r="H192" s="5"/>
      <c r="I192" s="5"/>
      <c r="J192" s="5"/>
      <c r="K192" s="5"/>
    </row>
    <row r="193" spans="1:13" x14ac:dyDescent="0.25">
      <c r="A193" s="2"/>
      <c r="E193" s="5"/>
      <c r="F193" s="5"/>
      <c r="G193" s="5"/>
      <c r="H193" s="5"/>
      <c r="I193" s="5"/>
      <c r="J193" s="5"/>
      <c r="K193" s="5"/>
    </row>
    <row r="194" spans="1:13" x14ac:dyDescent="0.25">
      <c r="A194" s="2"/>
      <c r="E194" s="5"/>
      <c r="F194" s="5"/>
      <c r="G194" s="5"/>
      <c r="H194" s="5"/>
      <c r="I194" s="5"/>
      <c r="J194" s="5"/>
      <c r="K194" s="5"/>
    </row>
    <row r="195" spans="1:13" x14ac:dyDescent="0.25">
      <c r="A195" s="2"/>
      <c r="E195" s="5"/>
      <c r="F195" s="5"/>
      <c r="G195" s="5"/>
      <c r="H195" s="5"/>
      <c r="I195" s="5"/>
      <c r="J195" s="5"/>
      <c r="K195" s="5"/>
    </row>
    <row r="196" spans="1:13" x14ac:dyDescent="0.25">
      <c r="A196" s="2"/>
      <c r="E196" s="5"/>
      <c r="F196" s="5"/>
      <c r="G196" s="5"/>
      <c r="H196" s="5"/>
      <c r="I196" s="5"/>
      <c r="J196" s="5"/>
      <c r="K196" s="5"/>
    </row>
    <row r="197" spans="1:13" x14ac:dyDescent="0.25">
      <c r="A197" s="2"/>
      <c r="E197" s="5"/>
      <c r="F197" s="5"/>
      <c r="G197" s="5"/>
      <c r="H197" s="5"/>
      <c r="I197" s="5"/>
      <c r="J197" s="5"/>
      <c r="K197" s="5"/>
    </row>
    <row r="198" spans="1:13" x14ac:dyDescent="0.25">
      <c r="A198" s="2"/>
      <c r="E198" s="5"/>
      <c r="F198" s="5"/>
      <c r="G198" s="5"/>
      <c r="H198" s="5"/>
      <c r="I198" s="5"/>
      <c r="J198" s="5"/>
      <c r="K198" s="5"/>
    </row>
    <row r="199" spans="1:13" x14ac:dyDescent="0.25">
      <c r="A199" s="2"/>
      <c r="E199" s="5"/>
      <c r="F199" s="5"/>
      <c r="G199" s="5"/>
      <c r="H199" s="5"/>
      <c r="I199" s="5"/>
      <c r="J199" s="5"/>
      <c r="K199" s="5"/>
    </row>
    <row r="200" spans="1:13" x14ac:dyDescent="0.25">
      <c r="A200" s="2"/>
      <c r="E200" s="5"/>
      <c r="F200" s="5"/>
      <c r="G200" s="5"/>
      <c r="H200" s="5"/>
      <c r="I200" s="5"/>
      <c r="J200" s="5"/>
      <c r="K200" s="5"/>
    </row>
    <row r="201" spans="1:13" x14ac:dyDescent="0.25">
      <c r="A201" s="2"/>
      <c r="E201" s="5"/>
      <c r="F201" s="5"/>
      <c r="G201" s="5"/>
      <c r="H201" s="5"/>
      <c r="I201" s="5"/>
      <c r="J201" s="5"/>
      <c r="K201" s="5"/>
    </row>
    <row r="202" spans="1:13" x14ac:dyDescent="0.25">
      <c r="A202" s="10"/>
      <c r="B202" s="8" t="s">
        <v>974</v>
      </c>
      <c r="C202" s="8"/>
      <c r="D202" s="8"/>
      <c r="E202" s="9">
        <f>SUM(E2:E201)</f>
        <v>3287.7599999999998</v>
      </c>
      <c r="F202" s="9">
        <f>SUM(F2:F201)</f>
        <v>9886.8699999999972</v>
      </c>
      <c r="G202" s="9">
        <f t="shared" ref="G202:K202" si="0">SUM(G2:G201)</f>
        <v>6041.88</v>
      </c>
      <c r="H202" s="9">
        <f t="shared" si="0"/>
        <v>6239.7699999999995</v>
      </c>
      <c r="I202" s="9">
        <f t="shared" si="0"/>
        <v>26508.110000000008</v>
      </c>
      <c r="J202" s="9">
        <f t="shared" si="0"/>
        <v>103.53</v>
      </c>
      <c r="K202" s="9">
        <f t="shared" si="0"/>
        <v>3526.11</v>
      </c>
      <c r="L202" s="8"/>
      <c r="M202" s="9">
        <f>SUM(E202:L202)</f>
        <v>55594.030000000006</v>
      </c>
    </row>
    <row r="203" spans="1:13" x14ac:dyDescent="0.25">
      <c r="A203" s="2"/>
      <c r="B203" t="s">
        <v>975</v>
      </c>
      <c r="E203" s="11">
        <f>E202/M202</f>
        <v>5.9138724068033915E-2</v>
      </c>
      <c r="F203" s="12">
        <f>F202/M202</f>
        <v>0.17784049834127866</v>
      </c>
      <c r="G203" s="11">
        <f>G202/M202</f>
        <v>0.1086785757391576</v>
      </c>
      <c r="H203" s="11">
        <f>H202/M202</f>
        <v>0.11223813060503077</v>
      </c>
      <c r="I203" s="11">
        <f>I202/M202</f>
        <v>0.47681576600940795</v>
      </c>
      <c r="J203" s="11">
        <f>J202/M202</f>
        <v>1.8622503171653502E-3</v>
      </c>
      <c r="K203" s="11">
        <f>K202/M202</f>
        <v>6.3426054919925756E-2</v>
      </c>
    </row>
    <row r="204" spans="1:13" x14ac:dyDescent="0.25">
      <c r="A204" s="2"/>
    </row>
    <row r="205" spans="1:13" x14ac:dyDescent="0.25">
      <c r="A205" s="2"/>
    </row>
    <row r="206" spans="1:13" x14ac:dyDescent="0.25">
      <c r="A206" s="2"/>
      <c r="L206" s="13"/>
    </row>
    <row r="207" spans="1:13" x14ac:dyDescent="0.25">
      <c r="A207" s="2"/>
      <c r="L207" s="13"/>
    </row>
    <row r="208" spans="1:13" x14ac:dyDescent="0.25">
      <c r="A208" s="2"/>
      <c r="L208" s="13"/>
    </row>
    <row r="209" spans="1:13" x14ac:dyDescent="0.25">
      <c r="A209" s="2"/>
      <c r="L209" s="13"/>
    </row>
    <row r="210" spans="1:13" x14ac:dyDescent="0.25">
      <c r="A210" s="2"/>
      <c r="L210" s="13"/>
    </row>
    <row r="211" spans="1:13" x14ac:dyDescent="0.25">
      <c r="A211" s="2"/>
      <c r="L211" s="16"/>
    </row>
    <row r="212" spans="1:13" x14ac:dyDescent="0.25">
      <c r="A212" s="2"/>
      <c r="L212" s="17"/>
    </row>
    <row r="213" spans="1:13" x14ac:dyDescent="0.25">
      <c r="A213" s="2"/>
      <c r="L213" s="16"/>
    </row>
    <row r="214" spans="1:13" x14ac:dyDescent="0.25">
      <c r="A214" s="2"/>
      <c r="L214" s="17"/>
    </row>
    <row r="215" spans="1:13" x14ac:dyDescent="0.25">
      <c r="A215" s="2"/>
      <c r="L215" s="16"/>
    </row>
    <row r="216" spans="1:13" x14ac:dyDescent="0.25">
      <c r="A216" s="2"/>
      <c r="L216" s="17"/>
    </row>
    <row r="217" spans="1:13" x14ac:dyDescent="0.25">
      <c r="A217" s="2"/>
      <c r="L217" s="16"/>
    </row>
    <row r="218" spans="1:13" x14ac:dyDescent="0.25">
      <c r="A218" s="2"/>
      <c r="L218" s="17"/>
    </row>
    <row r="219" spans="1:13" x14ac:dyDescent="0.25">
      <c r="A219" s="2"/>
    </row>
    <row r="220" spans="1:13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</row>
    <row r="222" spans="1:13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</row>
    <row r="223" spans="1:13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</row>
  </sheetData>
  <autoFilter ref="A1:M220" xr:uid="{F65B58E9-3BD4-4B36-BB1D-216675257A67}"/>
  <pageMargins left="0.7" right="0.7" top="0.78740157499999996" bottom="0.78740157499999996" header="0.3" footer="0.3"/>
  <pageSetup paperSize="9" orientation="portrait" r:id="rId1"/>
  <headerFooter>
    <oddFooter>&amp;C_x000D_&amp;1#&amp;"Aptos"&amp;10&amp;K000000 Confidential</oddFooter>
  </headerFooter>
</worksheet>
</file>

<file path=docMetadata/LabelInfo.xml><?xml version="1.0" encoding="utf-8"?>
<clbl:labelList xmlns:clbl="http://schemas.microsoft.com/office/2020/mipLabelMetadata">
  <clbl:label id="{96f67675-1501-479a-9f8a-0e60428c5972}" enabled="1" method="Privileged" siteId="{86f3ad06-368c-4a5a-81ed-352bb45962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Tabelle1</vt:lpstr>
      <vt:lpstr>Dashboard</vt:lpstr>
      <vt:lpstr>2026</vt:lpstr>
      <vt:lpstr>2025</vt:lpstr>
      <vt:lpstr>ÜM</vt:lpstr>
      <vt:lpstr>Online</vt:lpstr>
      <vt:lpstr>Alles</vt:lpstr>
    </vt:vector>
  </TitlesOfParts>
  <Manager/>
  <Company>AVM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Mendoza</dc:creator>
  <cp:keywords/>
  <dc:description/>
  <cp:lastModifiedBy>Helena Mendoza</cp:lastModifiedBy>
  <cp:revision/>
  <dcterms:created xsi:type="dcterms:W3CDTF">2024-07-09T14:09:57Z</dcterms:created>
  <dcterms:modified xsi:type="dcterms:W3CDTF">2026-10-20T10:05:28Z</dcterms:modified>
  <cp:category/>
  <cp:contentStatus/>
</cp:coreProperties>
</file>